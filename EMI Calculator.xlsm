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7" codeName="{CEAC5D1E-EA50-3977-4720-3AE11EBBE5F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Nivas_MBA/Desktop/Drive/2nd Semester/Not Now/Financial Modelling/Submission/Final/"/>
    </mc:Choice>
  </mc:AlternateContent>
  <xr:revisionPtr revIDLastSave="0" documentId="13_ncr:1_{8B3321A3-65D7-4442-A87B-8AAE1D702648}" xr6:coauthVersionLast="47" xr6:coauthVersionMax="47" xr10:uidLastSave="{00000000-0000-0000-0000-000000000000}"/>
  <bookViews>
    <workbookView xWindow="0" yWindow="720" windowWidth="29400" windowHeight="18400" xr2:uid="{3ABCA65B-9837-6A49-ABC1-74A036D0369D}"/>
  </bookViews>
  <sheets>
    <sheet name="EMI Calculator" sheetId="1" r:id="rId1"/>
    <sheet name="Loan Amortization Schedule" sheetId="4" r:id="rId2"/>
    <sheet name="Macro" sheetId="5" r:id="rId3"/>
  </sheets>
  <calcPr calcId="191029"/>
  <customWorkbookViews>
    <customWorkbookView name="Display" guid="{ED2E9B5D-B1ED-CD49-ABAA-552305DDFF96}" maximized="1" yWindow="36" windowWidth="1470" windowHeight="920" activeSheetId="1" showFormulaBar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5" l="1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13" i="5"/>
  <c r="F12" i="5"/>
  <c r="C12" i="5"/>
  <c r="E12" i="5" s="1"/>
  <c r="D12" i="5" l="1"/>
  <c r="G12" i="5" s="1"/>
  <c r="C13" i="5" s="1"/>
  <c r="D7" i="5"/>
  <c r="C4" i="5"/>
  <c r="C3" i="5"/>
  <c r="E13" i="5" l="1"/>
  <c r="D13" i="5" s="1"/>
  <c r="G13" i="5" s="1"/>
  <c r="C14" i="5" s="1"/>
  <c r="H18" i="1"/>
  <c r="D7" i="4"/>
  <c r="C4" i="4"/>
  <c r="C3" i="4"/>
  <c r="H7" i="1"/>
  <c r="E14" i="5" l="1"/>
  <c r="D14" i="5" s="1"/>
  <c r="G14" i="5" s="1"/>
  <c r="C15" i="5" s="1"/>
  <c r="C2" i="4"/>
  <c r="C12" i="4" s="1"/>
  <c r="C2" i="5"/>
  <c r="H16" i="1"/>
  <c r="C7" i="5" s="1"/>
  <c r="E12" i="4"/>
  <c r="C8" i="5"/>
  <c r="E15" i="5" l="1"/>
  <c r="D15" i="5" s="1"/>
  <c r="G15" i="5" s="1"/>
  <c r="C16" i="5" s="1"/>
  <c r="C7" i="4"/>
  <c r="C8" i="4"/>
  <c r="E16" i="5" l="1"/>
  <c r="D16" i="5" s="1"/>
  <c r="G16" i="5" s="1"/>
  <c r="C17" i="5" s="1"/>
  <c r="F54" i="4"/>
  <c r="F92" i="4"/>
  <c r="F101" i="4"/>
  <c r="F78" i="4"/>
  <c r="F106" i="4"/>
  <c r="F65" i="4"/>
  <c r="F49" i="4"/>
  <c r="F95" i="4"/>
  <c r="F63" i="4"/>
  <c r="F113" i="4"/>
  <c r="F69" i="4"/>
  <c r="F129" i="4"/>
  <c r="F88" i="4"/>
  <c r="F93" i="4"/>
  <c r="F99" i="4"/>
  <c r="F55" i="4"/>
  <c r="F75" i="4"/>
  <c r="F131" i="4"/>
  <c r="F130" i="4"/>
  <c r="F100" i="4"/>
  <c r="F71" i="4"/>
  <c r="F103" i="4"/>
  <c r="F68" i="4"/>
  <c r="F57" i="4"/>
  <c r="F46" i="4"/>
  <c r="F64" i="4"/>
  <c r="F117" i="4"/>
  <c r="F42" i="4"/>
  <c r="F94" i="4"/>
  <c r="F70" i="4"/>
  <c r="F125" i="4"/>
  <c r="F47" i="4"/>
  <c r="F37" i="4"/>
  <c r="F72" i="4"/>
  <c r="F73" i="4"/>
  <c r="F119" i="4"/>
  <c r="F45" i="4"/>
  <c r="F44" i="4"/>
  <c r="F50" i="4"/>
  <c r="F110" i="4"/>
  <c r="F112" i="4"/>
  <c r="F90" i="4"/>
  <c r="F102" i="4"/>
  <c r="F121" i="4"/>
  <c r="F109" i="4"/>
  <c r="F108" i="4"/>
  <c r="F53" i="4"/>
  <c r="F104" i="4"/>
  <c r="F77" i="4"/>
  <c r="F59" i="4"/>
  <c r="F56" i="4"/>
  <c r="F98" i="4"/>
  <c r="F86" i="4"/>
  <c r="F87" i="4"/>
  <c r="F52" i="4"/>
  <c r="F89" i="4"/>
  <c r="F61" i="4"/>
  <c r="F105" i="4"/>
  <c r="F83" i="4"/>
  <c r="F38" i="4"/>
  <c r="F76" i="4"/>
  <c r="F43" i="4"/>
  <c r="F97" i="4"/>
  <c r="F40" i="4"/>
  <c r="F85" i="4"/>
  <c r="F58" i="4"/>
  <c r="F91" i="4"/>
  <c r="F39" i="4"/>
  <c r="F62" i="4"/>
  <c r="F74" i="4"/>
  <c r="F107" i="4"/>
  <c r="F111" i="4"/>
  <c r="F60" i="4"/>
  <c r="F128" i="4"/>
  <c r="F96" i="4"/>
  <c r="F84" i="4"/>
  <c r="F51" i="4"/>
  <c r="F118" i="4"/>
  <c r="F82" i="4"/>
  <c r="F115" i="4"/>
  <c r="F127" i="4"/>
  <c r="F126" i="4"/>
  <c r="F114" i="4"/>
  <c r="F48" i="4"/>
  <c r="F122" i="4"/>
  <c r="F41" i="4"/>
  <c r="F120" i="4"/>
  <c r="F124" i="4"/>
  <c r="F123" i="4"/>
  <c r="F81" i="4"/>
  <c r="F67" i="4"/>
  <c r="F79" i="4"/>
  <c r="F80" i="4"/>
  <c r="F116" i="4"/>
  <c r="F66" i="4"/>
  <c r="F36" i="4"/>
  <c r="F31" i="4"/>
  <c r="F29" i="4"/>
  <c r="F32" i="4"/>
  <c r="F35" i="4"/>
  <c r="F34" i="4"/>
  <c r="F33" i="4"/>
  <c r="F28" i="4"/>
  <c r="F27" i="4"/>
  <c r="F30" i="4"/>
  <c r="F12" i="4"/>
  <c r="F26" i="4"/>
  <c r="F18" i="4"/>
  <c r="F25" i="4"/>
  <c r="F22" i="4"/>
  <c r="F13" i="4"/>
  <c r="F21" i="4"/>
  <c r="F20" i="4"/>
  <c r="F19" i="4"/>
  <c r="F23" i="4"/>
  <c r="F15" i="4"/>
  <c r="F17" i="4"/>
  <c r="F14" i="4"/>
  <c r="F24" i="4"/>
  <c r="F16" i="4"/>
  <c r="E17" i="5" l="1"/>
  <c r="D17" i="5" s="1"/>
  <c r="G17" i="5" s="1"/>
  <c r="C18" i="5" s="1"/>
  <c r="D12" i="4"/>
  <c r="G12" i="4" s="1"/>
  <c r="C13" i="4" s="1"/>
  <c r="E13" i="4" s="1"/>
  <c r="D13" i="4" s="1"/>
  <c r="E18" i="5" l="1"/>
  <c r="D18" i="5" s="1"/>
  <c r="G18" i="5" s="1"/>
  <c r="C19" i="5" s="1"/>
  <c r="G13" i="4"/>
  <c r="C14" i="4" s="1"/>
  <c r="E14" i="4" s="1"/>
  <c r="D14" i="4" s="1"/>
  <c r="G14" i="4" s="1"/>
  <c r="C15" i="4" s="1"/>
  <c r="E15" i="4" s="1"/>
  <c r="D15" i="4" s="1"/>
  <c r="E19" i="5" l="1"/>
  <c r="D19" i="5" s="1"/>
  <c r="G19" i="5" s="1"/>
  <c r="C20" i="5" s="1"/>
  <c r="G15" i="4"/>
  <c r="C16" i="4" s="1"/>
  <c r="E16" i="4" s="1"/>
  <c r="E20" i="5" l="1"/>
  <c r="D20" i="5" s="1"/>
  <c r="G20" i="5" s="1"/>
  <c r="C21" i="5" s="1"/>
  <c r="D16" i="4"/>
  <c r="E21" i="5" l="1"/>
  <c r="D21" i="5" s="1"/>
  <c r="G21" i="5"/>
  <c r="C22" i="5" s="1"/>
  <c r="G16" i="4"/>
  <c r="C17" i="4" s="1"/>
  <c r="E17" i="4" s="1"/>
  <c r="E22" i="5" l="1"/>
  <c r="D22" i="5" s="1"/>
  <c r="G22" i="5"/>
  <c r="C23" i="5" s="1"/>
  <c r="D17" i="4"/>
  <c r="E23" i="5" l="1"/>
  <c r="D23" i="5" s="1"/>
  <c r="G23" i="5"/>
  <c r="C24" i="5" s="1"/>
  <c r="G17" i="4"/>
  <c r="C18" i="4" s="1"/>
  <c r="E18" i="4" s="1"/>
  <c r="E24" i="5" l="1"/>
  <c r="D24" i="5" s="1"/>
  <c r="G24" i="5"/>
  <c r="C25" i="5" s="1"/>
  <c r="D18" i="4"/>
  <c r="E25" i="5" l="1"/>
  <c r="D25" i="5" s="1"/>
  <c r="G25" i="5"/>
  <c r="C26" i="5" s="1"/>
  <c r="G18" i="4"/>
  <c r="C19" i="4" s="1"/>
  <c r="E19" i="4" s="1"/>
  <c r="E26" i="5" l="1"/>
  <c r="D26" i="5" s="1"/>
  <c r="G26" i="5" s="1"/>
  <c r="C27" i="5" s="1"/>
  <c r="D19" i="4"/>
  <c r="E27" i="5" l="1"/>
  <c r="D27" i="5" s="1"/>
  <c r="G27" i="5" s="1"/>
  <c r="C28" i="5" s="1"/>
  <c r="G19" i="4"/>
  <c r="C20" i="4" s="1"/>
  <c r="E20" i="4" s="1"/>
  <c r="E28" i="5" l="1"/>
  <c r="D28" i="5" s="1"/>
  <c r="G28" i="5"/>
  <c r="C29" i="5" s="1"/>
  <c r="D20" i="4"/>
  <c r="E29" i="5" l="1"/>
  <c r="D29" i="5" s="1"/>
  <c r="G29" i="5"/>
  <c r="C30" i="5" s="1"/>
  <c r="G20" i="4"/>
  <c r="C21" i="4" s="1"/>
  <c r="E21" i="4" s="1"/>
  <c r="E30" i="5" l="1"/>
  <c r="D30" i="5" s="1"/>
  <c r="G30" i="5" s="1"/>
  <c r="C31" i="5" s="1"/>
  <c r="D21" i="4"/>
  <c r="E31" i="5" l="1"/>
  <c r="D31" i="5" s="1"/>
  <c r="G31" i="5" s="1"/>
  <c r="G21" i="4"/>
  <c r="C22" i="4" s="1"/>
  <c r="E22" i="4" s="1"/>
  <c r="D22" i="4" l="1"/>
  <c r="G22" i="4" l="1"/>
  <c r="C23" i="4" s="1"/>
  <c r="E23" i="4" s="1"/>
  <c r="D23" i="4" l="1"/>
  <c r="G23" i="4" l="1"/>
  <c r="C24" i="4" s="1"/>
  <c r="E24" i="4" s="1"/>
  <c r="D24" i="4" l="1"/>
  <c r="G24" i="4" l="1"/>
  <c r="C25" i="4" s="1"/>
  <c r="E25" i="4" s="1"/>
  <c r="D25" i="4" l="1"/>
  <c r="G25" i="4" l="1"/>
  <c r="C26" i="4" s="1"/>
  <c r="E26" i="4" s="1"/>
  <c r="D26" i="4" l="1"/>
  <c r="G26" i="4" s="1"/>
  <c r="C27" i="4" s="1"/>
  <c r="E27" i="4" s="1"/>
  <c r="D27" i="4" s="1"/>
  <c r="G27" i="4" s="1"/>
  <c r="C28" i="4" s="1"/>
  <c r="E28" i="4" s="1"/>
  <c r="D28" i="4" s="1"/>
  <c r="G28" i="4" s="1"/>
  <c r="C29" i="4" s="1"/>
  <c r="E29" i="4" s="1"/>
  <c r="D29" i="4" s="1"/>
  <c r="G29" i="4" s="1"/>
  <c r="C30" i="4" s="1"/>
  <c r="E30" i="4" l="1"/>
  <c r="D30" i="4" s="1"/>
  <c r="G30" i="4" s="1"/>
  <c r="C31" i="4" s="1"/>
  <c r="E31" i="4" s="1"/>
  <c r="D31" i="4" s="1"/>
  <c r="G31" i="4" s="1"/>
  <c r="C32" i="4" s="1"/>
  <c r="E32" i="4" l="1"/>
  <c r="D32" i="4" s="1"/>
  <c r="G32" i="4" s="1"/>
  <c r="C33" i="4" s="1"/>
  <c r="E33" i="4" l="1"/>
  <c r="D33" i="4" s="1"/>
  <c r="G33" i="4" s="1"/>
  <c r="C34" i="4" s="1"/>
  <c r="E34" i="4" s="1"/>
  <c r="D34" i="4" s="1"/>
  <c r="G34" i="4" s="1"/>
  <c r="C35" i="4" s="1"/>
  <c r="E35" i="4" l="1"/>
  <c r="D35" i="4" s="1"/>
  <c r="G35" i="4" s="1"/>
  <c r="C36" i="4" s="1"/>
  <c r="E36" i="4" l="1"/>
  <c r="D36" i="4" s="1"/>
  <c r="G36" i="4" s="1"/>
  <c r="C37" i="4" s="1"/>
  <c r="E37" i="4" l="1"/>
  <c r="D37" i="4" s="1"/>
  <c r="G37" i="4" s="1"/>
  <c r="C38" i="4" s="1"/>
  <c r="E38" i="4" s="1"/>
  <c r="D38" i="4" s="1"/>
  <c r="G38" i="4" s="1"/>
  <c r="C39" i="4" s="1"/>
  <c r="E39" i="4" s="1"/>
  <c r="D39" i="4" s="1"/>
  <c r="G39" i="4" s="1"/>
  <c r="C40" i="4" s="1"/>
  <c r="E40" i="4" s="1"/>
  <c r="D40" i="4" s="1"/>
  <c r="G40" i="4" s="1"/>
  <c r="C41" i="4" s="1"/>
  <c r="E41" i="4" s="1"/>
  <c r="D41" i="4" s="1"/>
  <c r="G41" i="4" s="1"/>
  <c r="C42" i="4" s="1"/>
  <c r="E42" i="4" s="1"/>
  <c r="D42" i="4" s="1"/>
  <c r="G42" i="4" s="1"/>
  <c r="C43" i="4" s="1"/>
  <c r="E43" i="4" s="1"/>
  <c r="D43" i="4" s="1"/>
  <c r="G43" i="4" s="1"/>
  <c r="C44" i="4" s="1"/>
  <c r="E44" i="4" s="1"/>
  <c r="D44" i="4" s="1"/>
  <c r="G44" i="4" s="1"/>
  <c r="C45" i="4" s="1"/>
  <c r="E45" i="4" s="1"/>
  <c r="D45" i="4" s="1"/>
  <c r="G45" i="4" s="1"/>
  <c r="C46" i="4" s="1"/>
  <c r="E46" i="4" s="1"/>
  <c r="D46" i="4" s="1"/>
  <c r="G46" i="4" s="1"/>
  <c r="C47" i="4" s="1"/>
  <c r="E47" i="4" s="1"/>
  <c r="D47" i="4" s="1"/>
  <c r="G47" i="4" s="1"/>
  <c r="C48" i="4" s="1"/>
  <c r="E48" i="4" l="1"/>
  <c r="D48" i="4" s="1"/>
  <c r="G48" i="4" s="1"/>
  <c r="C49" i="4" s="1"/>
  <c r="E49" i="4" s="1"/>
  <c r="D49" i="4" s="1"/>
  <c r="G49" i="4" s="1"/>
  <c r="C50" i="4" s="1"/>
  <c r="E50" i="4" s="1"/>
  <c r="D50" i="4" s="1"/>
  <c r="G50" i="4" s="1"/>
  <c r="C51" i="4" s="1"/>
  <c r="E51" i="4" s="1"/>
  <c r="D51" i="4" s="1"/>
  <c r="G51" i="4" s="1"/>
  <c r="C52" i="4" s="1"/>
  <c r="E52" i="4" s="1"/>
  <c r="D52" i="4" s="1"/>
  <c r="G52" i="4" s="1"/>
  <c r="C53" i="4" s="1"/>
  <c r="E53" i="4" s="1"/>
  <c r="D53" i="4" s="1"/>
  <c r="G53" i="4" s="1"/>
  <c r="C54" i="4" s="1"/>
  <c r="E54" i="4" s="1"/>
  <c r="D54" i="4" s="1"/>
  <c r="G54" i="4" s="1"/>
  <c r="C55" i="4" s="1"/>
  <c r="E55" i="4" l="1"/>
  <c r="D55" i="4" s="1"/>
  <c r="G55" i="4" s="1"/>
  <c r="C56" i="4" s="1"/>
  <c r="E56" i="4" s="1"/>
  <c r="D56" i="4" s="1"/>
  <c r="G56" i="4" s="1"/>
  <c r="C57" i="4" s="1"/>
  <c r="E57" i="4" s="1"/>
  <c r="D57" i="4" s="1"/>
  <c r="G57" i="4" s="1"/>
  <c r="C58" i="4" s="1"/>
  <c r="E58" i="4" s="1"/>
  <c r="D58" i="4" s="1"/>
  <c r="G58" i="4" s="1"/>
  <c r="C59" i="4" s="1"/>
  <c r="E59" i="4" l="1"/>
  <c r="D59" i="4" s="1"/>
  <c r="G59" i="4" s="1"/>
  <c r="C60" i="4" s="1"/>
  <c r="E60" i="4" s="1"/>
  <c r="D60" i="4" s="1"/>
  <c r="G60" i="4" s="1"/>
  <c r="C61" i="4" s="1"/>
  <c r="E61" i="4" s="1"/>
  <c r="D61" i="4" s="1"/>
  <c r="G61" i="4" s="1"/>
  <c r="C62" i="4" s="1"/>
  <c r="E62" i="4" s="1"/>
  <c r="D62" i="4" s="1"/>
  <c r="G62" i="4" s="1"/>
  <c r="C63" i="4" s="1"/>
  <c r="E63" i="4" s="1"/>
  <c r="D63" i="4" s="1"/>
  <c r="G63" i="4" s="1"/>
  <c r="C64" i="4" s="1"/>
  <c r="E64" i="4" s="1"/>
  <c r="D64" i="4" s="1"/>
  <c r="G64" i="4" s="1"/>
  <c r="C65" i="4" s="1"/>
  <c r="E65" i="4" l="1"/>
  <c r="D65" i="4" s="1"/>
  <c r="G65" i="4" s="1"/>
  <c r="C66" i="4" s="1"/>
  <c r="E66" i="4" s="1"/>
  <c r="D66" i="4" s="1"/>
  <c r="G66" i="4" s="1"/>
  <c r="C67" i="4" s="1"/>
  <c r="E67" i="4" l="1"/>
  <c r="D67" i="4" s="1"/>
  <c r="G67" i="4" s="1"/>
  <c r="C68" i="4" s="1"/>
  <c r="E68" i="4" s="1"/>
  <c r="D68" i="4" s="1"/>
  <c r="G68" i="4" s="1"/>
  <c r="C69" i="4" s="1"/>
  <c r="E69" i="4" s="1"/>
  <c r="D69" i="4" s="1"/>
  <c r="G69" i="4" s="1"/>
  <c r="C70" i="4" s="1"/>
  <c r="E70" i="4" s="1"/>
  <c r="D70" i="4" s="1"/>
  <c r="G70" i="4" s="1"/>
  <c r="C71" i="4" s="1"/>
  <c r="E71" i="4" s="1"/>
  <c r="D71" i="4" s="1"/>
  <c r="G71" i="4" s="1"/>
  <c r="C72" i="4" s="1"/>
  <c r="E72" i="4" s="1"/>
  <c r="D72" i="4" s="1"/>
  <c r="G72" i="4" s="1"/>
  <c r="C73" i="4" s="1"/>
  <c r="E73" i="4" s="1"/>
  <c r="D73" i="4" s="1"/>
  <c r="G73" i="4" s="1"/>
  <c r="C74" i="4" s="1"/>
  <c r="E74" i="4" s="1"/>
  <c r="D74" i="4" s="1"/>
  <c r="G74" i="4" s="1"/>
  <c r="C75" i="4" s="1"/>
  <c r="E75" i="4" l="1"/>
  <c r="D75" i="4" s="1"/>
  <c r="G75" i="4" s="1"/>
  <c r="C76" i="4" s="1"/>
  <c r="E76" i="4" s="1"/>
  <c r="D76" i="4" s="1"/>
  <c r="G76" i="4" s="1"/>
  <c r="C77" i="4" s="1"/>
  <c r="E77" i="4" s="1"/>
  <c r="D77" i="4" s="1"/>
  <c r="G77" i="4" s="1"/>
  <c r="C78" i="4" s="1"/>
  <c r="E78" i="4" s="1"/>
  <c r="D78" i="4" s="1"/>
  <c r="G78" i="4" s="1"/>
  <c r="C79" i="4" s="1"/>
  <c r="E79" i="4" l="1"/>
  <c r="D79" i="4" s="1"/>
  <c r="G79" i="4" s="1"/>
  <c r="C80" i="4" s="1"/>
  <c r="E80" i="4" s="1"/>
  <c r="D80" i="4" s="1"/>
  <c r="G80" i="4" s="1"/>
  <c r="C81" i="4" s="1"/>
  <c r="E81" i="4" l="1"/>
  <c r="D81" i="4" s="1"/>
  <c r="G81" i="4" s="1"/>
  <c r="C82" i="4" s="1"/>
  <c r="E82" i="4" s="1"/>
  <c r="D82" i="4" s="1"/>
  <c r="G82" i="4" s="1"/>
  <c r="C83" i="4" s="1"/>
  <c r="E83" i="4" l="1"/>
  <c r="D83" i="4" s="1"/>
  <c r="G83" i="4" s="1"/>
  <c r="C84" i="4" s="1"/>
  <c r="E84" i="4" s="1"/>
  <c r="D84" i="4" s="1"/>
  <c r="G84" i="4" s="1"/>
  <c r="C85" i="4" s="1"/>
  <c r="E85" i="4" s="1"/>
  <c r="D85" i="4" s="1"/>
  <c r="G85" i="4" s="1"/>
  <c r="C86" i="4" s="1"/>
  <c r="E86" i="4" s="1"/>
  <c r="D86" i="4" s="1"/>
  <c r="G86" i="4" s="1"/>
  <c r="C87" i="4" s="1"/>
  <c r="E87" i="4" s="1"/>
  <c r="D87" i="4" s="1"/>
  <c r="G87" i="4" s="1"/>
  <c r="C88" i="4" s="1"/>
  <c r="E88" i="4" l="1"/>
  <c r="D88" i="4" s="1"/>
  <c r="G88" i="4" s="1"/>
  <c r="C89" i="4" s="1"/>
  <c r="E89" i="4" s="1"/>
  <c r="D89" i="4" s="1"/>
  <c r="G89" i="4" s="1"/>
  <c r="C90" i="4" s="1"/>
  <c r="E90" i="4" s="1"/>
  <c r="D90" i="4" s="1"/>
  <c r="G90" i="4" s="1"/>
  <c r="C91" i="4" s="1"/>
  <c r="E91" i="4" s="1"/>
  <c r="D91" i="4" s="1"/>
  <c r="G91" i="4" s="1"/>
  <c r="C92" i="4" s="1"/>
  <c r="E92" i="4" s="1"/>
  <c r="D92" i="4" s="1"/>
  <c r="G92" i="4" s="1"/>
  <c r="C93" i="4" s="1"/>
  <c r="E93" i="4" s="1"/>
  <c r="D93" i="4" s="1"/>
  <c r="G93" i="4" s="1"/>
  <c r="C94" i="4" s="1"/>
  <c r="E94" i="4" s="1"/>
  <c r="D94" i="4" s="1"/>
  <c r="G94" i="4" s="1"/>
  <c r="C95" i="4" s="1"/>
  <c r="E95" i="4" s="1"/>
  <c r="D95" i="4" s="1"/>
  <c r="G95" i="4" s="1"/>
  <c r="C96" i="4" s="1"/>
  <c r="E96" i="4" s="1"/>
  <c r="D96" i="4" s="1"/>
  <c r="G96" i="4" s="1"/>
  <c r="C97" i="4" s="1"/>
  <c r="E97" i="4" l="1"/>
  <c r="D97" i="4" s="1"/>
  <c r="G97" i="4" s="1"/>
  <c r="C98" i="4" s="1"/>
  <c r="E98" i="4" l="1"/>
  <c r="D98" i="4" s="1"/>
  <c r="G98" i="4" s="1"/>
  <c r="C99" i="4" s="1"/>
  <c r="E99" i="4" l="1"/>
  <c r="D99" i="4" s="1"/>
  <c r="G99" i="4" s="1"/>
  <c r="C100" i="4" s="1"/>
  <c r="E100" i="4" l="1"/>
  <c r="D100" i="4" s="1"/>
  <c r="G100" i="4" s="1"/>
  <c r="C101" i="4" s="1"/>
  <c r="E101" i="4" l="1"/>
  <c r="D101" i="4" s="1"/>
  <c r="G101" i="4" s="1"/>
  <c r="C102" i="4" s="1"/>
  <c r="E102" i="4" l="1"/>
  <c r="D102" i="4" s="1"/>
  <c r="G102" i="4" s="1"/>
  <c r="C103" i="4" s="1"/>
  <c r="E103" i="4" l="1"/>
  <c r="D103" i="4" s="1"/>
  <c r="G103" i="4" s="1"/>
  <c r="C104" i="4" s="1"/>
  <c r="E104" i="4" l="1"/>
  <c r="D104" i="4" s="1"/>
  <c r="G104" i="4" s="1"/>
  <c r="C105" i="4" s="1"/>
  <c r="E105" i="4" l="1"/>
  <c r="D105" i="4" s="1"/>
  <c r="G105" i="4" s="1"/>
  <c r="C106" i="4" s="1"/>
  <c r="E106" i="4" l="1"/>
  <c r="D106" i="4" s="1"/>
  <c r="G106" i="4" s="1"/>
  <c r="C107" i="4" s="1"/>
  <c r="E107" i="4" l="1"/>
  <c r="D107" i="4" s="1"/>
  <c r="G107" i="4" s="1"/>
  <c r="C108" i="4" s="1"/>
  <c r="E108" i="4" l="1"/>
  <c r="D108" i="4" s="1"/>
  <c r="G108" i="4" s="1"/>
  <c r="C109" i="4" s="1"/>
  <c r="E109" i="4" l="1"/>
  <c r="D109" i="4" s="1"/>
  <c r="G109" i="4" s="1"/>
  <c r="C110" i="4" s="1"/>
  <c r="E110" i="4" l="1"/>
  <c r="D110" i="4" s="1"/>
  <c r="G110" i="4" s="1"/>
  <c r="C111" i="4" s="1"/>
  <c r="E111" i="4" l="1"/>
  <c r="D111" i="4" s="1"/>
  <c r="G111" i="4" s="1"/>
  <c r="C112" i="4" s="1"/>
  <c r="E112" i="4" l="1"/>
  <c r="D112" i="4" s="1"/>
  <c r="G112" i="4" s="1"/>
  <c r="C113" i="4" s="1"/>
  <c r="E113" i="4" l="1"/>
  <c r="D113" i="4" s="1"/>
  <c r="G113" i="4" s="1"/>
  <c r="C114" i="4" s="1"/>
  <c r="E114" i="4" l="1"/>
  <c r="D114" i="4" s="1"/>
  <c r="G114" i="4" s="1"/>
  <c r="C115" i="4" s="1"/>
  <c r="E115" i="4" l="1"/>
  <c r="D115" i="4" s="1"/>
  <c r="G115" i="4" s="1"/>
  <c r="C116" i="4" s="1"/>
  <c r="E116" i="4" l="1"/>
  <c r="D116" i="4" s="1"/>
  <c r="G116" i="4" s="1"/>
  <c r="C117" i="4" s="1"/>
  <c r="E117" i="4" l="1"/>
  <c r="D117" i="4" s="1"/>
  <c r="G117" i="4" s="1"/>
  <c r="C118" i="4" s="1"/>
  <c r="E118" i="4" l="1"/>
  <c r="D118" i="4" s="1"/>
  <c r="G118" i="4" s="1"/>
  <c r="C119" i="4" s="1"/>
  <c r="E119" i="4" l="1"/>
  <c r="D119" i="4" s="1"/>
  <c r="G119" i="4" s="1"/>
  <c r="C120" i="4" s="1"/>
  <c r="E120" i="4" l="1"/>
  <c r="D120" i="4" s="1"/>
  <c r="G120" i="4" s="1"/>
  <c r="C121" i="4" s="1"/>
  <c r="E121" i="4" l="1"/>
  <c r="D121" i="4" s="1"/>
  <c r="G121" i="4" s="1"/>
  <c r="C122" i="4" s="1"/>
  <c r="E122" i="4" l="1"/>
  <c r="D122" i="4" s="1"/>
  <c r="G122" i="4" s="1"/>
  <c r="C123" i="4" s="1"/>
  <c r="E123" i="4" l="1"/>
  <c r="D123" i="4" s="1"/>
  <c r="G123" i="4" s="1"/>
  <c r="C124" i="4" s="1"/>
  <c r="E124" i="4" l="1"/>
  <c r="D124" i="4" s="1"/>
  <c r="G124" i="4" s="1"/>
  <c r="C125" i="4" s="1"/>
  <c r="E125" i="4" l="1"/>
  <c r="D125" i="4" s="1"/>
  <c r="G125" i="4" s="1"/>
  <c r="C126" i="4" s="1"/>
  <c r="E126" i="4" l="1"/>
  <c r="D126" i="4" s="1"/>
  <c r="G126" i="4" s="1"/>
  <c r="C127" i="4" s="1"/>
  <c r="E127" i="4" l="1"/>
  <c r="D127" i="4" s="1"/>
  <c r="G127" i="4" s="1"/>
  <c r="C128" i="4" s="1"/>
  <c r="E128" i="4" l="1"/>
  <c r="D128" i="4" s="1"/>
  <c r="G128" i="4" s="1"/>
  <c r="C129" i="4" s="1"/>
  <c r="E129" i="4" l="1"/>
  <c r="D129" i="4" s="1"/>
  <c r="G129" i="4" s="1"/>
  <c r="C130" i="4" s="1"/>
  <c r="E130" i="4" l="1"/>
  <c r="D130" i="4" s="1"/>
  <c r="G130" i="4" s="1"/>
  <c r="C131" i="4" s="1"/>
  <c r="E131" i="4" l="1"/>
  <c r="D131" i="4" s="1"/>
  <c r="G131" i="4" s="1"/>
</calcChain>
</file>

<file path=xl/sharedStrings.xml><?xml version="1.0" encoding="utf-8"?>
<sst xmlns="http://schemas.openxmlformats.org/spreadsheetml/2006/main" count="34" uniqueCount="15">
  <si>
    <t>EMI CALCULATOR</t>
  </si>
  <si>
    <t>Principal</t>
  </si>
  <si>
    <t>Yearly Interest Rate (%)</t>
  </si>
  <si>
    <t>EMI</t>
  </si>
  <si>
    <t>Yearly</t>
  </si>
  <si>
    <t>Monthly</t>
  </si>
  <si>
    <t>No. of Years</t>
  </si>
  <si>
    <t>Loan  Amortization  Schedule</t>
  </si>
  <si>
    <t>Period</t>
  </si>
  <si>
    <t>Opening Balance</t>
  </si>
  <si>
    <t>Principal Repayment</t>
  </si>
  <si>
    <t>Interest</t>
  </si>
  <si>
    <t>Closing Balance</t>
  </si>
  <si>
    <t>Loan Amortization Schedule</t>
  </si>
  <si>
    <t>Interest Rate p.a. 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</si>
</sst>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₹&quot;#,##0_);[Red]\(&quot;₹&quot;#,##0\)"/>
  </numFmts>
  <fonts count="1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theme="1"/>
      <name val="Times New Roman"/>
      <family val="1"/>
    </font>
    <font>
      <b/>
      <sz val="14"/>
      <color theme="1"/>
      <name val="Times New Roman"/>
      <family val="1"/>
    </font>
    <font>
      <b/>
      <sz val="14"/>
      <color theme="0"/>
      <name val="Times New Roman"/>
      <family val="1"/>
    </font>
    <font>
      <b/>
      <sz val="14"/>
      <color theme="1" tint="4.9989318521683403E-2"/>
      <name val="Times New Roman"/>
      <family val="1"/>
    </font>
    <font>
      <sz val="14"/>
      <color theme="0"/>
      <name val="Times New Roman"/>
      <family val="1"/>
    </font>
    <font>
      <b/>
      <sz val="14"/>
      <color rgb="FF000000"/>
      <name val="Times New Roman"/>
      <family val="1"/>
    </font>
    <font>
      <sz val="14"/>
      <color rgb="FF000000"/>
      <name val="Times New Roman"/>
      <family val="1"/>
    </font>
    <font>
      <b/>
      <sz val="14"/>
      <color theme="3" tint="0.39997558519241921"/>
      <name val="Times New Roman"/>
      <family val="1"/>
    </font>
    <font>
      <b/>
      <sz val="12"/>
      <color theme="3" tint="0.39997558519241921"/>
      <name val="Calibri"/>
      <family val="2"/>
      <scheme val="minor"/>
    </font>
    <font>
      <sz val="12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8">
    <xf numFmtId="0" fontId="0" fillId="0" borderId="0" xfId="0"/>
    <xf numFmtId="0" fontId="3" fillId="0" borderId="0" xfId="0" applyFont="1"/>
    <xf numFmtId="0" fontId="4" fillId="2" borderId="1" xfId="0" applyFont="1" applyFill="1" applyBorder="1"/>
    <xf numFmtId="0" fontId="4" fillId="2" borderId="7" xfId="0" applyFont="1" applyFill="1" applyBorder="1"/>
    <xf numFmtId="6" fontId="4" fillId="2" borderId="1" xfId="0" applyNumberFormat="1" applyFont="1" applyFill="1" applyBorder="1"/>
    <xf numFmtId="0" fontId="5" fillId="4" borderId="13" xfId="0" applyFont="1" applyFill="1" applyBorder="1" applyAlignment="1">
      <alignment horizontal="center" vertical="center"/>
    </xf>
    <xf numFmtId="0" fontId="5" fillId="4" borderId="13" xfId="0" applyFont="1" applyFill="1" applyBorder="1" applyAlignment="1">
      <alignment horizontal="center" vertical="center" wrapText="1"/>
    </xf>
    <xf numFmtId="0" fontId="4" fillId="2" borderId="1" xfId="1" applyNumberFormat="1" applyFont="1" applyFill="1" applyBorder="1" applyAlignment="1">
      <alignment vertical="center"/>
    </xf>
    <xf numFmtId="6" fontId="4" fillId="0" borderId="1" xfId="0" applyNumberFormat="1" applyFont="1" applyBorder="1"/>
    <xf numFmtId="0" fontId="4" fillId="0" borderId="1" xfId="0" applyFont="1" applyBorder="1"/>
    <xf numFmtId="0" fontId="4" fillId="0" borderId="1" xfId="1" applyNumberFormat="1" applyFont="1" applyFill="1" applyBorder="1" applyAlignment="1">
      <alignment vertical="center"/>
    </xf>
    <xf numFmtId="0" fontId="4" fillId="0" borderId="1" xfId="0" applyFont="1" applyBorder="1" applyAlignment="1">
      <alignment wrapText="1"/>
    </xf>
    <xf numFmtId="6" fontId="4" fillId="2" borderId="14" xfId="0" applyNumberFormat="1" applyFont="1" applyFill="1" applyBorder="1"/>
    <xf numFmtId="0" fontId="3" fillId="0" borderId="13" xfId="0" applyFont="1" applyBorder="1" applyAlignment="1">
      <alignment horizontal="center"/>
    </xf>
    <xf numFmtId="6" fontId="3" fillId="0" borderId="13" xfId="0" applyNumberFormat="1" applyFont="1" applyBorder="1"/>
    <xf numFmtId="0" fontId="7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5" fillId="4" borderId="15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 wrapText="1"/>
    </xf>
    <xf numFmtId="0" fontId="9" fillId="0" borderId="15" xfId="0" applyFont="1" applyBorder="1" applyAlignment="1">
      <alignment horizontal="center"/>
    </xf>
    <xf numFmtId="6" fontId="9" fillId="0" borderId="15" xfId="0" applyNumberFormat="1" applyFont="1" applyBorder="1"/>
    <xf numFmtId="6" fontId="3" fillId="0" borderId="15" xfId="0" applyNumberFormat="1" applyFont="1" applyBorder="1"/>
    <xf numFmtId="0" fontId="4" fillId="5" borderId="2" xfId="0" applyFont="1" applyFill="1" applyBorder="1"/>
    <xf numFmtId="0" fontId="4" fillId="5" borderId="3" xfId="0" applyFont="1" applyFill="1" applyBorder="1"/>
    <xf numFmtId="0" fontId="4" fillId="5" borderId="4" xfId="0" applyFont="1" applyFill="1" applyBorder="1"/>
    <xf numFmtId="0" fontId="4" fillId="5" borderId="5" xfId="0" applyFont="1" applyFill="1" applyBorder="1"/>
    <xf numFmtId="0" fontId="4" fillId="5" borderId="6" xfId="0" applyFont="1" applyFill="1" applyBorder="1"/>
    <xf numFmtId="0" fontId="4" fillId="5" borderId="0" xfId="0" applyFont="1" applyFill="1"/>
    <xf numFmtId="0" fontId="4" fillId="5" borderId="0" xfId="0" applyFont="1" applyFill="1" applyAlignment="1">
      <alignment horizontal="center"/>
    </xf>
    <xf numFmtId="0" fontId="2" fillId="5" borderId="0" xfId="0" applyFont="1" applyFill="1"/>
    <xf numFmtId="0" fontId="2" fillId="5" borderId="6" xfId="0" applyFont="1" applyFill="1" applyBorder="1"/>
    <xf numFmtId="0" fontId="6" fillId="5" borderId="5" xfId="0" applyFont="1" applyFill="1" applyBorder="1"/>
    <xf numFmtId="0" fontId="4" fillId="5" borderId="7" xfId="0" applyFont="1" applyFill="1" applyBorder="1"/>
    <xf numFmtId="0" fontId="4" fillId="5" borderId="8" xfId="0" applyFont="1" applyFill="1" applyBorder="1"/>
    <xf numFmtId="0" fontId="4" fillId="5" borderId="9" xfId="0" applyFont="1" applyFill="1" applyBorder="1"/>
    <xf numFmtId="0" fontId="10" fillId="5" borderId="5" xfId="0" applyFont="1" applyFill="1" applyBorder="1"/>
    <xf numFmtId="0" fontId="11" fillId="5" borderId="6" xfId="0" applyFont="1" applyFill="1" applyBorder="1"/>
    <xf numFmtId="0" fontId="4" fillId="6" borderId="1" xfId="0" applyFont="1" applyFill="1" applyBorder="1"/>
    <xf numFmtId="0" fontId="4" fillId="7" borderId="5" xfId="0" applyFont="1" applyFill="1" applyBorder="1"/>
    <xf numFmtId="0" fontId="4" fillId="7" borderId="0" xfId="0" applyFont="1" applyFill="1"/>
    <xf numFmtId="0" fontId="2" fillId="7" borderId="6" xfId="0" applyFont="1" applyFill="1" applyBorder="1"/>
    <xf numFmtId="0" fontId="4" fillId="7" borderId="7" xfId="0" applyFont="1" applyFill="1" applyBorder="1"/>
    <xf numFmtId="0" fontId="4" fillId="7" borderId="8" xfId="0" applyFont="1" applyFill="1" applyBorder="1"/>
    <xf numFmtId="0" fontId="4" fillId="7" borderId="9" xfId="0" applyFont="1" applyFill="1" applyBorder="1"/>
    <xf numFmtId="0" fontId="4" fillId="6" borderId="1" xfId="0" applyFont="1" applyFill="1" applyBorder="1" applyAlignment="1">
      <alignment vertical="center"/>
    </xf>
    <xf numFmtId="0" fontId="4" fillId="5" borderId="0" xfId="0" applyFont="1" applyFill="1" applyAlignment="1">
      <alignment vertical="center"/>
    </xf>
    <xf numFmtId="0" fontId="4" fillId="6" borderId="1" xfId="0" applyFont="1" applyFill="1" applyBorder="1" applyAlignment="1">
      <alignment vertical="center" wrapText="1"/>
    </xf>
    <xf numFmtId="6" fontId="4" fillId="2" borderId="1" xfId="0" applyNumberFormat="1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5" borderId="10" xfId="0" applyFont="1" applyFill="1" applyBorder="1" applyAlignment="1">
      <alignment horizontal="center"/>
    </xf>
    <xf numFmtId="0" fontId="4" fillId="5" borderId="11" xfId="0" applyFont="1" applyFill="1" applyBorder="1" applyAlignment="1">
      <alignment horizontal="center"/>
    </xf>
    <xf numFmtId="0" fontId="4" fillId="5" borderId="12" xfId="0" applyFont="1" applyFill="1" applyBorder="1" applyAlignment="1">
      <alignment horizontal="center"/>
    </xf>
    <xf numFmtId="0" fontId="4" fillId="6" borderId="10" xfId="0" applyFont="1" applyFill="1" applyBorder="1" applyAlignment="1">
      <alignment horizontal="center"/>
    </xf>
    <xf numFmtId="0" fontId="4" fillId="6" borderId="11" xfId="0" applyFont="1" applyFill="1" applyBorder="1" applyAlignment="1">
      <alignment horizontal="center"/>
    </xf>
    <xf numFmtId="0" fontId="4" fillId="6" borderId="12" xfId="0" applyFont="1" applyFill="1" applyBorder="1" applyAlignment="1">
      <alignment horizontal="center"/>
    </xf>
    <xf numFmtId="0" fontId="4" fillId="6" borderId="2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/>
    </xf>
    <xf numFmtId="0" fontId="4" fillId="6" borderId="9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3" borderId="15" xfId="0" applyFont="1" applyFill="1" applyBorder="1" applyAlignment="1">
      <alignment horizontal="center"/>
    </xf>
    <xf numFmtId="0" fontId="9" fillId="0" borderId="0" xfId="0" applyFont="1" applyBorder="1" applyAlignment="1">
      <alignment horizontal="center"/>
    </xf>
    <xf numFmtId="6" fontId="9" fillId="0" borderId="0" xfId="0" applyNumberFormat="1" applyFont="1" applyBorder="1"/>
    <xf numFmtId="6" fontId="3" fillId="0" borderId="0" xfId="0" applyNumberFormat="1" applyFont="1" applyBorder="1"/>
  </cellXfs>
  <cellStyles count="2">
    <cellStyle name="Normal" xfId="0" builtinId="0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pin" dx="15" fmlaLink="$J$7" max="5000" page="10"/>
</file>

<file path=xl/ctrlProps/ctrlProp2.xml><?xml version="1.0" encoding="utf-8"?>
<formControlPr xmlns="http://schemas.microsoft.com/office/spreadsheetml/2009/9/main" objectType="Spin" dx="15" fmlaLink="$H$9" max="30000" page="10" val="20"/>
</file>

<file path=xl/ctrlProps/ctrlProp3.xml><?xml version="1.0" encoding="utf-8"?>
<formControlPr xmlns="http://schemas.microsoft.com/office/spreadsheetml/2009/9/main" objectType="Spin" dx="15" fmlaLink="$H$11" max="20" min="7" page="10" val="7"/>
</file>

<file path=xl/ctrlProps/ctrlProp4.xml><?xml version="1.0" encoding="utf-8"?>
<formControlPr xmlns="http://schemas.microsoft.com/office/spreadsheetml/2009/9/main" objectType="Radio" checked="Checked" firstButton="1" fmlaLink="$D$17" lockText="1"/>
</file>

<file path=xl/ctrlProps/ctrlProp5.xml><?xml version="1.0" encoding="utf-8"?>
<formControlPr xmlns="http://schemas.microsoft.com/office/spreadsheetml/2009/9/main" objectType="Radio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6</xdr:row>
          <xdr:rowOff>0</xdr:rowOff>
        </xdr:from>
        <xdr:to>
          <xdr:col>8</xdr:col>
          <xdr:colOff>215900</xdr:colOff>
          <xdr:row>6</xdr:row>
          <xdr:rowOff>241300</xdr:rowOff>
        </xdr:to>
        <xdr:sp macro="" textlink="">
          <xdr:nvSpPr>
            <xdr:cNvPr id="1031" name="Spinner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8</xdr:row>
          <xdr:rowOff>0</xdr:rowOff>
        </xdr:from>
        <xdr:to>
          <xdr:col>8</xdr:col>
          <xdr:colOff>228600</xdr:colOff>
          <xdr:row>8</xdr:row>
          <xdr:rowOff>241300</xdr:rowOff>
        </xdr:to>
        <xdr:sp macro="" textlink="">
          <xdr:nvSpPr>
            <xdr:cNvPr id="1032" name="Spinner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10</xdr:row>
          <xdr:rowOff>0</xdr:rowOff>
        </xdr:from>
        <xdr:to>
          <xdr:col>8</xdr:col>
          <xdr:colOff>228600</xdr:colOff>
          <xdr:row>10</xdr:row>
          <xdr:rowOff>241300</xdr:rowOff>
        </xdr:to>
        <xdr:sp macro="" textlink="">
          <xdr:nvSpPr>
            <xdr:cNvPr id="1033" name="Spinner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139700</xdr:colOff>
          <xdr:row>14</xdr:row>
          <xdr:rowOff>203200</xdr:rowOff>
        </xdr:from>
        <xdr:to>
          <xdr:col>5</xdr:col>
          <xdr:colOff>63500</xdr:colOff>
          <xdr:row>16</xdr:row>
          <xdr:rowOff>88900</xdr:rowOff>
        </xdr:to>
        <xdr:sp macro="" textlink="">
          <xdr:nvSpPr>
            <xdr:cNvPr id="1037" name="Option 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127000</xdr:colOff>
          <xdr:row>16</xdr:row>
          <xdr:rowOff>190500</xdr:rowOff>
        </xdr:from>
        <xdr:to>
          <xdr:col>5</xdr:col>
          <xdr:colOff>50800</xdr:colOff>
          <xdr:row>18</xdr:row>
          <xdr:rowOff>63500</xdr:rowOff>
        </xdr:to>
        <xdr:sp macro="" textlink="">
          <xdr:nvSpPr>
            <xdr:cNvPr id="1038" name="Option 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431800</xdr:colOff>
          <xdr:row>19</xdr:row>
          <xdr:rowOff>215900</xdr:rowOff>
        </xdr:from>
        <xdr:to>
          <xdr:col>9</xdr:col>
          <xdr:colOff>12700</xdr:colOff>
          <xdr:row>21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Times New Roman" pitchFamily="1" charset="0"/>
                  <a:cs typeface="Times New Roman" pitchFamily="1" charset="0"/>
                </a:rPr>
                <a:t>Loan Amortization Schedule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419100</xdr:colOff>
          <xdr:row>6</xdr:row>
          <xdr:rowOff>88900</xdr:rowOff>
        </xdr:from>
        <xdr:to>
          <xdr:col>7</xdr:col>
          <xdr:colOff>12700</xdr:colOff>
          <xdr:row>7</xdr:row>
          <xdr:rowOff>228600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Times New Roman" pitchFamily="1" charset="0"/>
                  <a:cs typeface="Times New Roman" pitchFamily="1" charset="0"/>
                </a:rPr>
                <a:t>Go Back to Calculator</a:t>
              </a:r>
              <a:endParaRPr lang="en-GB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  <a:p>
              <a:pPr algn="ctr" rtl="0">
                <a:defRPr sz="1000"/>
              </a:pPr>
              <a:endParaRPr lang="en-GB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7FE11-97F5-4F44-8473-5E228793F2BE}">
  <sheetPr codeName="Sheet1"/>
  <dimension ref="D1:J22"/>
  <sheetViews>
    <sheetView showGridLines="0" showRowColHeaders="0" tabSelected="1" zoomScale="160" zoomScaleNormal="160" workbookViewId="0">
      <selection activeCell="H16" sqref="H16"/>
    </sheetView>
  </sheetViews>
  <sheetFormatPr baseColWidth="10" defaultRowHeight="18" x14ac:dyDescent="0.2"/>
  <cols>
    <col min="1" max="1" width="8.5" style="1" customWidth="1"/>
    <col min="2" max="3" width="10.83203125" style="1"/>
    <col min="4" max="5" width="5.83203125" style="1" customWidth="1"/>
    <col min="6" max="6" width="26.83203125" style="1" customWidth="1"/>
    <col min="7" max="7" width="5.83203125" style="1" customWidth="1"/>
    <col min="8" max="8" width="16.5" style="1" customWidth="1"/>
    <col min="9" max="10" width="5.83203125" style="1" customWidth="1"/>
    <col min="11" max="16384" width="10.83203125" style="1"/>
  </cols>
  <sheetData>
    <row r="1" spans="4:10" ht="19" thickBot="1" x14ac:dyDescent="0.25"/>
    <row r="2" spans="4:10" ht="19" thickBot="1" x14ac:dyDescent="0.25">
      <c r="D2" s="22"/>
      <c r="E2" s="23"/>
      <c r="F2" s="23"/>
      <c r="G2" s="23"/>
      <c r="H2" s="23"/>
      <c r="I2" s="23"/>
      <c r="J2" s="24"/>
    </row>
    <row r="3" spans="4:10" x14ac:dyDescent="0.2">
      <c r="D3" s="25"/>
      <c r="E3" s="55" t="s">
        <v>0</v>
      </c>
      <c r="F3" s="56"/>
      <c r="G3" s="56"/>
      <c r="H3" s="56"/>
      <c r="I3" s="57"/>
      <c r="J3" s="26"/>
    </row>
    <row r="4" spans="4:10" ht="19" thickBot="1" x14ac:dyDescent="0.25">
      <c r="D4" s="25"/>
      <c r="E4" s="58"/>
      <c r="F4" s="59"/>
      <c r="G4" s="59"/>
      <c r="H4" s="59"/>
      <c r="I4" s="60"/>
      <c r="J4" s="26"/>
    </row>
    <row r="5" spans="4:10" x14ac:dyDescent="0.2">
      <c r="D5" s="25"/>
      <c r="E5" s="27"/>
      <c r="F5" s="28"/>
      <c r="G5" s="28"/>
      <c r="H5" s="28"/>
      <c r="I5" s="28"/>
      <c r="J5" s="26"/>
    </row>
    <row r="6" spans="4:10" ht="19" thickBot="1" x14ac:dyDescent="0.25">
      <c r="D6" s="25"/>
      <c r="E6" s="27"/>
      <c r="F6" s="27"/>
      <c r="G6" s="27"/>
      <c r="H6" s="27"/>
      <c r="I6" s="29"/>
      <c r="J6" s="30"/>
    </row>
    <row r="7" spans="4:10" ht="19" thickBot="1" x14ac:dyDescent="0.25">
      <c r="D7" s="25"/>
      <c r="E7" s="27"/>
      <c r="F7" s="44" t="s">
        <v>1</v>
      </c>
      <c r="G7" s="27"/>
      <c r="H7" s="47">
        <f>J7*100000</f>
        <v>100000</v>
      </c>
      <c r="I7" s="29"/>
      <c r="J7" s="36">
        <v>1</v>
      </c>
    </row>
    <row r="8" spans="4:10" ht="19" thickBot="1" x14ac:dyDescent="0.25">
      <c r="D8" s="25"/>
      <c r="E8" s="27"/>
      <c r="F8" s="45"/>
      <c r="G8" s="27"/>
      <c r="H8" s="45"/>
      <c r="I8" s="29"/>
      <c r="J8" s="30"/>
    </row>
    <row r="9" spans="4:10" ht="19" thickBot="1" x14ac:dyDescent="0.25">
      <c r="D9" s="25"/>
      <c r="E9" s="27"/>
      <c r="F9" s="44" t="s">
        <v>6</v>
      </c>
      <c r="G9" s="27"/>
      <c r="H9" s="48">
        <v>20</v>
      </c>
      <c r="I9" s="29"/>
      <c r="J9" s="30"/>
    </row>
    <row r="10" spans="4:10" ht="19" thickBot="1" x14ac:dyDescent="0.25">
      <c r="D10" s="25"/>
      <c r="E10" s="27"/>
      <c r="F10" s="45"/>
      <c r="G10" s="27"/>
      <c r="H10" s="45"/>
      <c r="I10" s="29"/>
      <c r="J10" s="30"/>
    </row>
    <row r="11" spans="4:10" ht="20" thickBot="1" x14ac:dyDescent="0.25">
      <c r="D11" s="25"/>
      <c r="E11" s="27"/>
      <c r="F11" s="46" t="s">
        <v>2</v>
      </c>
      <c r="G11" s="27"/>
      <c r="H11" s="7">
        <v>7</v>
      </c>
      <c r="I11" s="29"/>
      <c r="J11" s="30"/>
    </row>
    <row r="12" spans="4:10" x14ac:dyDescent="0.2">
      <c r="D12" s="35">
        <v>1</v>
      </c>
      <c r="E12" s="27"/>
      <c r="F12" s="27"/>
      <c r="G12" s="27"/>
      <c r="H12" s="27"/>
      <c r="I12" s="29"/>
      <c r="J12" s="30"/>
    </row>
    <row r="13" spans="4:10" ht="19" thickBot="1" x14ac:dyDescent="0.25">
      <c r="D13" s="25"/>
      <c r="E13" s="27"/>
      <c r="F13" s="27"/>
      <c r="G13" s="27"/>
      <c r="H13" s="27"/>
      <c r="I13" s="29"/>
      <c r="J13" s="30"/>
    </row>
    <row r="14" spans="4:10" ht="19" thickBot="1" x14ac:dyDescent="0.25">
      <c r="D14" s="25"/>
      <c r="E14" s="52" t="s">
        <v>3</v>
      </c>
      <c r="F14" s="53"/>
      <c r="G14" s="53"/>
      <c r="H14" s="53"/>
      <c r="I14" s="54"/>
      <c r="J14" s="30"/>
    </row>
    <row r="15" spans="4:10" ht="19" thickBot="1" x14ac:dyDescent="0.25">
      <c r="D15" s="25"/>
      <c r="E15" s="38"/>
      <c r="F15" s="39"/>
      <c r="G15" s="39"/>
      <c r="H15" s="39"/>
      <c r="I15" s="40"/>
      <c r="J15" s="30"/>
    </row>
    <row r="16" spans="4:10" ht="19" thickBot="1" x14ac:dyDescent="0.25">
      <c r="D16" s="31"/>
      <c r="E16" s="38"/>
      <c r="F16" s="37" t="s">
        <v>4</v>
      </c>
      <c r="G16" s="39"/>
      <c r="H16" s="4">
        <f>IF(D17=1,PMT(H11%,H9,-H7,,0),"")</f>
        <v>9439.292574325571</v>
      </c>
      <c r="I16" s="40"/>
      <c r="J16" s="30"/>
    </row>
    <row r="17" spans="4:10" ht="19" thickBot="1" x14ac:dyDescent="0.25">
      <c r="D17" s="35">
        <v>1</v>
      </c>
      <c r="E17" s="38"/>
      <c r="F17" s="39"/>
      <c r="G17" s="39"/>
      <c r="H17" s="39"/>
      <c r="I17" s="40"/>
      <c r="J17" s="30"/>
    </row>
    <row r="18" spans="4:10" ht="19" thickBot="1" x14ac:dyDescent="0.25">
      <c r="D18" s="25"/>
      <c r="E18" s="38"/>
      <c r="F18" s="37" t="s">
        <v>5</v>
      </c>
      <c r="G18" s="39"/>
      <c r="H18" s="4" t="str">
        <f>IF(D17=2,PMT(H11%/12,H9*12,-H7,,0),"")</f>
        <v/>
      </c>
      <c r="I18" s="40"/>
      <c r="J18" s="30"/>
    </row>
    <row r="19" spans="4:10" ht="19" thickBot="1" x14ac:dyDescent="0.25">
      <c r="D19" s="25"/>
      <c r="E19" s="41"/>
      <c r="F19" s="42"/>
      <c r="G19" s="42"/>
      <c r="H19" s="42"/>
      <c r="I19" s="43"/>
      <c r="J19" s="26"/>
    </row>
    <row r="20" spans="4:10" ht="19" thickBot="1" x14ac:dyDescent="0.25">
      <c r="D20" s="25"/>
      <c r="E20" s="27"/>
      <c r="F20" s="27"/>
      <c r="G20" s="27"/>
      <c r="H20" s="27"/>
      <c r="I20" s="27"/>
      <c r="J20" s="26"/>
    </row>
    <row r="21" spans="4:10" ht="19" thickBot="1" x14ac:dyDescent="0.25">
      <c r="D21" s="25"/>
      <c r="E21" s="49" t="s">
        <v>7</v>
      </c>
      <c r="F21" s="50"/>
      <c r="G21" s="50"/>
      <c r="H21" s="50"/>
      <c r="I21" s="51"/>
      <c r="J21" s="26"/>
    </row>
    <row r="22" spans="4:10" ht="19" thickBot="1" x14ac:dyDescent="0.25">
      <c r="D22" s="32"/>
      <c r="E22" s="33"/>
      <c r="F22" s="33"/>
      <c r="G22" s="33"/>
      <c r="H22" s="33"/>
      <c r="I22" s="33"/>
      <c r="J22" s="34"/>
    </row>
  </sheetData>
  <customSheetViews>
    <customSheetView guid="{ED2E9B5D-B1ED-CD49-ABAA-552305DDFF96}" scale="180" showGridLines="0" showRowCol="0">
      <selection activeCell="C3" sqref="C3:G4"/>
      <pageMargins left="0.7" right="0.7" top="0.75" bottom="0.75" header="0.3" footer="0.3"/>
      <pageSetup paperSize="9" orientation="portrait" horizontalDpi="0" verticalDpi="0"/>
    </customSheetView>
  </customSheetViews>
  <mergeCells count="3">
    <mergeCell ref="E21:I21"/>
    <mergeCell ref="E14:I14"/>
    <mergeCell ref="E3:I4"/>
  </mergeCell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3" name="Spinner 7">
              <controlPr defaultSize="0" autoPict="0">
                <anchor moveWithCells="1" sizeWithCells="1">
                  <from>
                    <xdr:col>8</xdr:col>
                    <xdr:colOff>12700</xdr:colOff>
                    <xdr:row>6</xdr:row>
                    <xdr:rowOff>0</xdr:rowOff>
                  </from>
                  <to>
                    <xdr:col>8</xdr:col>
                    <xdr:colOff>215900</xdr:colOff>
                    <xdr:row>6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4" name="Spinner 8">
              <controlPr defaultSize="0" autoPict="0">
                <anchor moveWithCells="1" sizeWithCells="1">
                  <from>
                    <xdr:col>8</xdr:col>
                    <xdr:colOff>12700</xdr:colOff>
                    <xdr:row>8</xdr:row>
                    <xdr:rowOff>0</xdr:rowOff>
                  </from>
                  <to>
                    <xdr:col>8</xdr:col>
                    <xdr:colOff>228600</xdr:colOff>
                    <xdr:row>8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Spinner 9">
              <controlPr defaultSize="0" autoPict="0">
                <anchor moveWithCells="1" sizeWithCells="1">
                  <from>
                    <xdr:col>8</xdr:col>
                    <xdr:colOff>12700</xdr:colOff>
                    <xdr:row>10</xdr:row>
                    <xdr:rowOff>0</xdr:rowOff>
                  </from>
                  <to>
                    <xdr:col>8</xdr:col>
                    <xdr:colOff>228600</xdr:colOff>
                    <xdr:row>10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Option Button 13">
              <controlPr defaultSize="0" autoFill="0" autoLine="0" autoPict="0">
                <anchor moveWithCells="1">
                  <from>
                    <xdr:col>4</xdr:col>
                    <xdr:colOff>139700</xdr:colOff>
                    <xdr:row>14</xdr:row>
                    <xdr:rowOff>203200</xdr:rowOff>
                  </from>
                  <to>
                    <xdr:col>5</xdr:col>
                    <xdr:colOff>63500</xdr:colOff>
                    <xdr:row>16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Option Button 14">
              <controlPr defaultSize="0" autoFill="0" autoLine="0" autoPict="0">
                <anchor moveWithCells="1">
                  <from>
                    <xdr:col>4</xdr:col>
                    <xdr:colOff>127000</xdr:colOff>
                    <xdr:row>16</xdr:row>
                    <xdr:rowOff>190500</xdr:rowOff>
                  </from>
                  <to>
                    <xdr:col>5</xdr:col>
                    <xdr:colOff>50800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_xludf.Display">
                <anchor moveWithCells="1" sizeWithCells="1">
                  <from>
                    <xdr:col>3</xdr:col>
                    <xdr:colOff>431800</xdr:colOff>
                    <xdr:row>19</xdr:row>
                    <xdr:rowOff>215900</xdr:rowOff>
                  </from>
                  <to>
                    <xdr:col>9</xdr:col>
                    <xdr:colOff>12700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C7485-35F7-C24A-BF3C-E1CD38865C24}">
  <sheetPr codeName="Sheet3"/>
  <dimension ref="B1:G131"/>
  <sheetViews>
    <sheetView zoomScale="110" zoomScaleNormal="110" workbookViewId="0">
      <selection activeCell="G12" sqref="G12"/>
    </sheetView>
  </sheetViews>
  <sheetFormatPr baseColWidth="10" defaultRowHeight="18" x14ac:dyDescent="0.2"/>
  <cols>
    <col min="1" max="1" width="10.83203125" style="1"/>
    <col min="2" max="2" width="23.6640625" style="1" bestFit="1" customWidth="1"/>
    <col min="3" max="7" width="15.83203125" style="1" customWidth="1"/>
    <col min="8" max="16384" width="10.83203125" style="1"/>
  </cols>
  <sheetData>
    <row r="1" spans="2:7" ht="19" thickBot="1" x14ac:dyDescent="0.25"/>
    <row r="2" spans="2:7" ht="19" thickBot="1" x14ac:dyDescent="0.25">
      <c r="B2" s="9" t="s">
        <v>1</v>
      </c>
      <c r="C2" s="8">
        <f>'EMI Calculator'!H7</f>
        <v>100000</v>
      </c>
    </row>
    <row r="3" spans="2:7" ht="19" thickBot="1" x14ac:dyDescent="0.25">
      <c r="B3" s="9" t="s">
        <v>6</v>
      </c>
      <c r="C3" s="9">
        <f>'EMI Calculator'!H9</f>
        <v>20</v>
      </c>
    </row>
    <row r="4" spans="2:7" ht="20" thickBot="1" x14ac:dyDescent="0.25">
      <c r="B4" s="11" t="s">
        <v>14</v>
      </c>
      <c r="C4" s="10">
        <f>'EMI Calculator'!H11</f>
        <v>7</v>
      </c>
    </row>
    <row r="5" spans="2:7" ht="19" thickBot="1" x14ac:dyDescent="0.25"/>
    <row r="6" spans="2:7" ht="19" thickBot="1" x14ac:dyDescent="0.25">
      <c r="B6" s="62" t="s">
        <v>3</v>
      </c>
      <c r="C6" s="63"/>
    </row>
    <row r="7" spans="2:7" ht="19" thickBot="1" x14ac:dyDescent="0.25">
      <c r="B7" s="2" t="s">
        <v>4</v>
      </c>
      <c r="C7" s="12">
        <f>'EMI Calculator'!H16</f>
        <v>9439.292574325571</v>
      </c>
      <c r="D7" s="15">
        <f>'EMI Calculator'!D17</f>
        <v>1</v>
      </c>
    </row>
    <row r="8" spans="2:7" ht="19" thickBot="1" x14ac:dyDescent="0.25">
      <c r="B8" s="3" t="s">
        <v>5</v>
      </c>
      <c r="C8" s="4" t="str">
        <f>'EMI Calculator'!H18</f>
        <v/>
      </c>
    </row>
    <row r="10" spans="2:7" x14ac:dyDescent="0.2">
      <c r="B10" s="61" t="s">
        <v>13</v>
      </c>
      <c r="C10" s="61"/>
      <c r="D10" s="61"/>
      <c r="E10" s="61"/>
      <c r="F10" s="61"/>
      <c r="G10" s="61"/>
    </row>
    <row r="11" spans="2:7" ht="38" x14ac:dyDescent="0.2">
      <c r="B11" s="5" t="s">
        <v>8</v>
      </c>
      <c r="C11" s="6" t="s">
        <v>9</v>
      </c>
      <c r="D11" s="6" t="s">
        <v>10</v>
      </c>
      <c r="E11" s="5" t="s">
        <v>11</v>
      </c>
      <c r="F11" s="5" t="s">
        <v>3</v>
      </c>
      <c r="G11" s="6" t="s">
        <v>12</v>
      </c>
    </row>
    <row r="12" spans="2:7" x14ac:dyDescent="0.2">
      <c r="B12" s="13">
        <v>1</v>
      </c>
      <c r="C12" s="14">
        <f>C2</f>
        <v>100000</v>
      </c>
      <c r="D12" s="14">
        <f>F12-E12</f>
        <v>2439.2925743255701</v>
      </c>
      <c r="E12" s="14">
        <f>IF($D$7=1,C12*$C$4%,C12*$C$4%/12)</f>
        <v>7000.0000000000009</v>
      </c>
      <c r="F12" s="14">
        <f>IF($D$7=1,$C$7,$C$8)</f>
        <v>9439.292574325571</v>
      </c>
      <c r="G12" s="14">
        <f>C12-D12</f>
        <v>97560.707425674424</v>
      </c>
    </row>
    <row r="13" spans="2:7" x14ac:dyDescent="0.2">
      <c r="B13" s="13">
        <v>2</v>
      </c>
      <c r="C13" s="14">
        <f>G12</f>
        <v>97560.707425674424</v>
      </c>
      <c r="D13" s="14">
        <f t="shared" ref="D13:D26" si="0">F13-E13</f>
        <v>2610.0430545283607</v>
      </c>
      <c r="E13" s="14">
        <f t="shared" ref="E13:E26" si="1">IF($D$7=1,C13*$C$4%,C13*$C$4%/12)</f>
        <v>6829.2495197972103</v>
      </c>
      <c r="F13" s="14">
        <f t="shared" ref="F13:F76" si="2">IF($D$7=1,$C$7,$C$8)</f>
        <v>9439.292574325571</v>
      </c>
      <c r="G13" s="14">
        <f>C13-D13</f>
        <v>94950.664371146064</v>
      </c>
    </row>
    <row r="14" spans="2:7" x14ac:dyDescent="0.2">
      <c r="B14" s="13">
        <v>3</v>
      </c>
      <c r="C14" s="14">
        <f t="shared" ref="C14:C26" si="3">G13</f>
        <v>94950.664371146064</v>
      </c>
      <c r="D14" s="14">
        <f t="shared" si="0"/>
        <v>2792.7460683453455</v>
      </c>
      <c r="E14" s="14">
        <f t="shared" si="1"/>
        <v>6646.5465059802254</v>
      </c>
      <c r="F14" s="14">
        <f t="shared" si="2"/>
        <v>9439.292574325571</v>
      </c>
      <c r="G14" s="14">
        <f t="shared" ref="G14:G26" si="4">C14-D14</f>
        <v>92157.918302800725</v>
      </c>
    </row>
    <row r="15" spans="2:7" x14ac:dyDescent="0.2">
      <c r="B15" s="13">
        <v>4</v>
      </c>
      <c r="C15" s="14">
        <f t="shared" si="3"/>
        <v>92157.918302800725</v>
      </c>
      <c r="D15" s="14">
        <f t="shared" si="0"/>
        <v>2988.2382931295197</v>
      </c>
      <c r="E15" s="14">
        <f t="shared" si="1"/>
        <v>6451.0542811960513</v>
      </c>
      <c r="F15" s="14">
        <f t="shared" si="2"/>
        <v>9439.292574325571</v>
      </c>
      <c r="G15" s="14">
        <f t="shared" si="4"/>
        <v>89169.68000967121</v>
      </c>
    </row>
    <row r="16" spans="2:7" x14ac:dyDescent="0.2">
      <c r="B16" s="13">
        <v>5</v>
      </c>
      <c r="C16" s="14">
        <f t="shared" si="3"/>
        <v>89169.68000967121</v>
      </c>
      <c r="D16" s="14">
        <f t="shared" si="0"/>
        <v>3197.4149736485861</v>
      </c>
      <c r="E16" s="14">
        <f t="shared" si="1"/>
        <v>6241.8776006769849</v>
      </c>
      <c r="F16" s="14">
        <f t="shared" si="2"/>
        <v>9439.292574325571</v>
      </c>
      <c r="G16" s="14">
        <f t="shared" si="4"/>
        <v>85972.265036022625</v>
      </c>
    </row>
    <row r="17" spans="2:7" x14ac:dyDescent="0.2">
      <c r="B17" s="13">
        <v>6</v>
      </c>
      <c r="C17" s="14">
        <f t="shared" si="3"/>
        <v>85972.265036022625</v>
      </c>
      <c r="D17" s="14">
        <f t="shared" si="0"/>
        <v>3421.2340218039863</v>
      </c>
      <c r="E17" s="14">
        <f t="shared" si="1"/>
        <v>6018.0585525215847</v>
      </c>
      <c r="F17" s="14">
        <f t="shared" si="2"/>
        <v>9439.292574325571</v>
      </c>
      <c r="G17" s="14">
        <f t="shared" si="4"/>
        <v>82551.031014218635</v>
      </c>
    </row>
    <row r="18" spans="2:7" x14ac:dyDescent="0.2">
      <c r="B18" s="13">
        <v>7</v>
      </c>
      <c r="C18" s="14">
        <f t="shared" si="3"/>
        <v>82551.031014218635</v>
      </c>
      <c r="D18" s="14">
        <f t="shared" si="0"/>
        <v>3660.720403330266</v>
      </c>
      <c r="E18" s="14">
        <f t="shared" si="1"/>
        <v>5778.572170995305</v>
      </c>
      <c r="F18" s="14">
        <f t="shared" si="2"/>
        <v>9439.292574325571</v>
      </c>
      <c r="G18" s="14">
        <f t="shared" si="4"/>
        <v>78890.310610888366</v>
      </c>
    </row>
    <row r="19" spans="2:7" x14ac:dyDescent="0.2">
      <c r="B19" s="13">
        <v>8</v>
      </c>
      <c r="C19" s="14">
        <f t="shared" si="3"/>
        <v>78890.310610888366</v>
      </c>
      <c r="D19" s="14">
        <f t="shared" si="0"/>
        <v>3916.9708315633852</v>
      </c>
      <c r="E19" s="14">
        <f t="shared" si="1"/>
        <v>5522.3217427621857</v>
      </c>
      <c r="F19" s="14">
        <f t="shared" si="2"/>
        <v>9439.292574325571</v>
      </c>
      <c r="G19" s="14">
        <f t="shared" si="4"/>
        <v>74973.339779324975</v>
      </c>
    </row>
    <row r="20" spans="2:7" x14ac:dyDescent="0.2">
      <c r="B20" s="13">
        <v>9</v>
      </c>
      <c r="C20" s="14">
        <f t="shared" si="3"/>
        <v>74973.339779324975</v>
      </c>
      <c r="D20" s="14">
        <f t="shared" si="0"/>
        <v>4191.1587897728223</v>
      </c>
      <c r="E20" s="14">
        <f t="shared" si="1"/>
        <v>5248.1337845527487</v>
      </c>
      <c r="F20" s="14">
        <f t="shared" si="2"/>
        <v>9439.292574325571</v>
      </c>
      <c r="G20" s="14">
        <f t="shared" si="4"/>
        <v>70782.180989552158</v>
      </c>
    </row>
    <row r="21" spans="2:7" x14ac:dyDescent="0.2">
      <c r="B21" s="13">
        <v>10</v>
      </c>
      <c r="C21" s="14">
        <f t="shared" si="3"/>
        <v>70782.180989552158</v>
      </c>
      <c r="D21" s="14">
        <f t="shared" si="0"/>
        <v>4484.5399050569195</v>
      </c>
      <c r="E21" s="14">
        <f t="shared" si="1"/>
        <v>4954.7526692686515</v>
      </c>
      <c r="F21" s="14">
        <f t="shared" si="2"/>
        <v>9439.292574325571</v>
      </c>
      <c r="G21" s="14">
        <f t="shared" si="4"/>
        <v>66297.641084495233</v>
      </c>
    </row>
    <row r="22" spans="2:7" x14ac:dyDescent="0.2">
      <c r="B22" s="13">
        <v>11</v>
      </c>
      <c r="C22" s="14">
        <f t="shared" si="3"/>
        <v>66297.641084495233</v>
      </c>
      <c r="D22" s="14">
        <f t="shared" si="0"/>
        <v>4798.4576984109044</v>
      </c>
      <c r="E22" s="14">
        <f t="shared" si="1"/>
        <v>4640.8348759146666</v>
      </c>
      <c r="F22" s="14">
        <f t="shared" si="2"/>
        <v>9439.292574325571</v>
      </c>
      <c r="G22" s="14">
        <f t="shared" si="4"/>
        <v>61499.183386084333</v>
      </c>
    </row>
    <row r="23" spans="2:7" x14ac:dyDescent="0.2">
      <c r="B23" s="13">
        <v>12</v>
      </c>
      <c r="C23" s="14">
        <f t="shared" si="3"/>
        <v>61499.183386084333</v>
      </c>
      <c r="D23" s="14">
        <f t="shared" si="0"/>
        <v>5134.3497372996671</v>
      </c>
      <c r="E23" s="14">
        <f t="shared" si="1"/>
        <v>4304.9428370259038</v>
      </c>
      <c r="F23" s="14">
        <f t="shared" si="2"/>
        <v>9439.292574325571</v>
      </c>
      <c r="G23" s="14">
        <f t="shared" si="4"/>
        <v>56364.833648784668</v>
      </c>
    </row>
    <row r="24" spans="2:7" x14ac:dyDescent="0.2">
      <c r="B24" s="13">
        <v>13</v>
      </c>
      <c r="C24" s="14">
        <f t="shared" si="3"/>
        <v>56364.833648784668</v>
      </c>
      <c r="D24" s="14">
        <f t="shared" si="0"/>
        <v>5493.7542189106443</v>
      </c>
      <c r="E24" s="14">
        <f t="shared" si="1"/>
        <v>3945.5383554149271</v>
      </c>
      <c r="F24" s="14">
        <f t="shared" si="2"/>
        <v>9439.292574325571</v>
      </c>
      <c r="G24" s="14">
        <f t="shared" si="4"/>
        <v>50871.079429874022</v>
      </c>
    </row>
    <row r="25" spans="2:7" x14ac:dyDescent="0.2">
      <c r="B25" s="13">
        <v>14</v>
      </c>
      <c r="C25" s="14">
        <f t="shared" si="3"/>
        <v>50871.079429874022</v>
      </c>
      <c r="D25" s="14">
        <f t="shared" si="0"/>
        <v>5878.3170142343897</v>
      </c>
      <c r="E25" s="14">
        <f t="shared" si="1"/>
        <v>3560.9755600911817</v>
      </c>
      <c r="F25" s="14">
        <f t="shared" si="2"/>
        <v>9439.292574325571</v>
      </c>
      <c r="G25" s="14">
        <f t="shared" si="4"/>
        <v>44992.762415639634</v>
      </c>
    </row>
    <row r="26" spans="2:7" x14ac:dyDescent="0.2">
      <c r="B26" s="13">
        <v>15</v>
      </c>
      <c r="C26" s="14">
        <f t="shared" si="3"/>
        <v>44992.762415639634</v>
      </c>
      <c r="D26" s="14">
        <f t="shared" si="0"/>
        <v>6289.7992052307964</v>
      </c>
      <c r="E26" s="14">
        <f t="shared" si="1"/>
        <v>3149.4933690947746</v>
      </c>
      <c r="F26" s="14">
        <f t="shared" si="2"/>
        <v>9439.292574325571</v>
      </c>
      <c r="G26" s="14">
        <f t="shared" si="4"/>
        <v>38702.963210408838</v>
      </c>
    </row>
    <row r="27" spans="2:7" x14ac:dyDescent="0.2">
      <c r="B27" s="13">
        <v>16</v>
      </c>
      <c r="C27" s="14">
        <f t="shared" ref="C27:C90" si="5">G26</f>
        <v>38702.963210408838</v>
      </c>
      <c r="D27" s="14">
        <f t="shared" ref="D27:D90" si="6">F27-E27</f>
        <v>6730.0851495969519</v>
      </c>
      <c r="E27" s="14">
        <f t="shared" ref="E27:E90" si="7">IF($D$7=1,C27*$C$4%,C27*$C$4%/12)</f>
        <v>2709.2074247286191</v>
      </c>
      <c r="F27" s="14">
        <f t="shared" si="2"/>
        <v>9439.292574325571</v>
      </c>
      <c r="G27" s="14">
        <f t="shared" ref="G27:G90" si="8">C27-D27</f>
        <v>31972.878060811887</v>
      </c>
    </row>
    <row r="28" spans="2:7" x14ac:dyDescent="0.2">
      <c r="B28" s="13">
        <v>17</v>
      </c>
      <c r="C28" s="14">
        <f t="shared" si="5"/>
        <v>31972.878060811887</v>
      </c>
      <c r="D28" s="14">
        <f t="shared" si="6"/>
        <v>7201.1911100687385</v>
      </c>
      <c r="E28" s="14">
        <f t="shared" si="7"/>
        <v>2238.1014642568325</v>
      </c>
      <c r="F28" s="14">
        <f t="shared" si="2"/>
        <v>9439.292574325571</v>
      </c>
      <c r="G28" s="14">
        <f t="shared" si="8"/>
        <v>24771.686950743147</v>
      </c>
    </row>
    <row r="29" spans="2:7" x14ac:dyDescent="0.2">
      <c r="B29" s="13">
        <v>18</v>
      </c>
      <c r="C29" s="14">
        <f t="shared" si="5"/>
        <v>24771.686950743147</v>
      </c>
      <c r="D29" s="14">
        <f t="shared" si="6"/>
        <v>7705.2744877735504</v>
      </c>
      <c r="E29" s="14">
        <f t="shared" si="7"/>
        <v>1734.0180865520206</v>
      </c>
      <c r="F29" s="14">
        <f t="shared" si="2"/>
        <v>9439.292574325571</v>
      </c>
      <c r="G29" s="14">
        <f t="shared" si="8"/>
        <v>17066.412462969598</v>
      </c>
    </row>
    <row r="30" spans="2:7" x14ac:dyDescent="0.2">
      <c r="B30" s="13">
        <v>19</v>
      </c>
      <c r="C30" s="14">
        <f t="shared" si="5"/>
        <v>17066.412462969598</v>
      </c>
      <c r="D30" s="14">
        <f t="shared" si="6"/>
        <v>8244.6437019176992</v>
      </c>
      <c r="E30" s="14">
        <f t="shared" si="7"/>
        <v>1194.648872407872</v>
      </c>
      <c r="F30" s="14">
        <f t="shared" si="2"/>
        <v>9439.292574325571</v>
      </c>
      <c r="G30" s="14">
        <f t="shared" si="8"/>
        <v>8821.7687610518988</v>
      </c>
    </row>
    <row r="31" spans="2:7" x14ac:dyDescent="0.2">
      <c r="B31" s="13">
        <v>20</v>
      </c>
      <c r="C31" s="14">
        <f t="shared" si="5"/>
        <v>8821.7687610518988</v>
      </c>
      <c r="D31" s="14">
        <f t="shared" si="6"/>
        <v>8821.7687610519388</v>
      </c>
      <c r="E31" s="14">
        <f t="shared" si="7"/>
        <v>617.52381327363298</v>
      </c>
      <c r="F31" s="14">
        <f t="shared" si="2"/>
        <v>9439.292574325571</v>
      </c>
      <c r="G31" s="14">
        <f t="shared" si="8"/>
        <v>-4.0017766878008842E-11</v>
      </c>
    </row>
    <row r="32" spans="2:7" x14ac:dyDescent="0.2">
      <c r="B32" s="13">
        <v>21</v>
      </c>
      <c r="C32" s="14">
        <f t="shared" si="5"/>
        <v>-4.0017766878008842E-11</v>
      </c>
      <c r="D32" s="14">
        <f t="shared" si="6"/>
        <v>9439.2925743255746</v>
      </c>
      <c r="E32" s="14">
        <f t="shared" si="7"/>
        <v>-2.801243681460619E-12</v>
      </c>
      <c r="F32" s="14">
        <f t="shared" si="2"/>
        <v>9439.292574325571</v>
      </c>
      <c r="G32" s="14">
        <f t="shared" si="8"/>
        <v>-9439.2925743256146</v>
      </c>
    </row>
    <row r="33" spans="2:7" x14ac:dyDescent="0.2">
      <c r="B33" s="13">
        <v>22</v>
      </c>
      <c r="C33" s="14">
        <f t="shared" si="5"/>
        <v>-9439.2925743256146</v>
      </c>
      <c r="D33" s="14">
        <f t="shared" si="6"/>
        <v>10100.043054528363</v>
      </c>
      <c r="E33" s="14">
        <f t="shared" si="7"/>
        <v>-660.75048020279314</v>
      </c>
      <c r="F33" s="14">
        <f t="shared" si="2"/>
        <v>9439.292574325571</v>
      </c>
      <c r="G33" s="14">
        <f t="shared" si="8"/>
        <v>-19539.33562885398</v>
      </c>
    </row>
    <row r="34" spans="2:7" x14ac:dyDescent="0.2">
      <c r="B34" s="13">
        <v>23</v>
      </c>
      <c r="C34" s="14">
        <f t="shared" si="5"/>
        <v>-19539.33562885398</v>
      </c>
      <c r="D34" s="14">
        <f t="shared" si="6"/>
        <v>10807.046068345349</v>
      </c>
      <c r="E34" s="14">
        <f t="shared" si="7"/>
        <v>-1367.7534940197788</v>
      </c>
      <c r="F34" s="14">
        <f t="shared" si="2"/>
        <v>9439.292574325571</v>
      </c>
      <c r="G34" s="14">
        <f t="shared" si="8"/>
        <v>-30346.381697199329</v>
      </c>
    </row>
    <row r="35" spans="2:7" x14ac:dyDescent="0.2">
      <c r="B35" s="13">
        <v>24</v>
      </c>
      <c r="C35" s="14">
        <f t="shared" si="5"/>
        <v>-30346.381697199329</v>
      </c>
      <c r="D35" s="14">
        <f t="shared" si="6"/>
        <v>11563.539293129525</v>
      </c>
      <c r="E35" s="14">
        <f t="shared" si="7"/>
        <v>-2124.2467188039532</v>
      </c>
      <c r="F35" s="14">
        <f t="shared" si="2"/>
        <v>9439.292574325571</v>
      </c>
      <c r="G35" s="14">
        <f t="shared" si="8"/>
        <v>-41909.920990328857</v>
      </c>
    </row>
    <row r="36" spans="2:7" x14ac:dyDescent="0.2">
      <c r="B36" s="13">
        <v>25</v>
      </c>
      <c r="C36" s="14">
        <f t="shared" si="5"/>
        <v>-41909.920990328857</v>
      </c>
      <c r="D36" s="14">
        <f t="shared" si="6"/>
        <v>12372.987043648591</v>
      </c>
      <c r="E36" s="14">
        <f t="shared" si="7"/>
        <v>-2933.6944693230203</v>
      </c>
      <c r="F36" s="14">
        <f t="shared" si="2"/>
        <v>9439.292574325571</v>
      </c>
      <c r="G36" s="14">
        <f t="shared" si="8"/>
        <v>-54282.908033977452</v>
      </c>
    </row>
    <row r="37" spans="2:7" x14ac:dyDescent="0.2">
      <c r="B37" s="13">
        <v>26</v>
      </c>
      <c r="C37" s="14">
        <f t="shared" si="5"/>
        <v>-54282.908033977452</v>
      </c>
      <c r="D37" s="14">
        <f t="shared" si="6"/>
        <v>13239.096136703993</v>
      </c>
      <c r="E37" s="14">
        <f t="shared" si="7"/>
        <v>-3799.8035623784222</v>
      </c>
      <c r="F37" s="14">
        <f t="shared" si="2"/>
        <v>9439.292574325571</v>
      </c>
      <c r="G37" s="14">
        <f t="shared" si="8"/>
        <v>-67522.004170681437</v>
      </c>
    </row>
    <row r="38" spans="2:7" x14ac:dyDescent="0.2">
      <c r="B38" s="13">
        <v>27</v>
      </c>
      <c r="C38" s="14">
        <f t="shared" si="5"/>
        <v>-67522.004170681437</v>
      </c>
      <c r="D38" s="14">
        <f t="shared" si="6"/>
        <v>14165.832866273271</v>
      </c>
      <c r="E38" s="14">
        <f t="shared" si="7"/>
        <v>-4726.540291947701</v>
      </c>
      <c r="F38" s="14">
        <f t="shared" si="2"/>
        <v>9439.292574325571</v>
      </c>
      <c r="G38" s="14">
        <f t="shared" si="8"/>
        <v>-81687.837036954705</v>
      </c>
    </row>
    <row r="39" spans="2:7" x14ac:dyDescent="0.2">
      <c r="B39" s="13">
        <v>28</v>
      </c>
      <c r="C39" s="14">
        <f t="shared" si="5"/>
        <v>-81687.837036954705</v>
      </c>
      <c r="D39" s="14">
        <f t="shared" si="6"/>
        <v>15157.441166912402</v>
      </c>
      <c r="E39" s="14">
        <f t="shared" si="7"/>
        <v>-5718.1485925868301</v>
      </c>
      <c r="F39" s="14">
        <f t="shared" si="2"/>
        <v>9439.292574325571</v>
      </c>
      <c r="G39" s="14">
        <f t="shared" si="8"/>
        <v>-96845.278203867114</v>
      </c>
    </row>
    <row r="40" spans="2:7" x14ac:dyDescent="0.2">
      <c r="B40" s="13">
        <v>29</v>
      </c>
      <c r="C40" s="14">
        <f t="shared" si="5"/>
        <v>-96845.278203867114</v>
      </c>
      <c r="D40" s="14">
        <f t="shared" si="6"/>
        <v>16218.46204859627</v>
      </c>
      <c r="E40" s="14">
        <f t="shared" si="7"/>
        <v>-6779.1694742706986</v>
      </c>
      <c r="F40" s="14">
        <f t="shared" si="2"/>
        <v>9439.292574325571</v>
      </c>
      <c r="G40" s="14">
        <f t="shared" si="8"/>
        <v>-113063.74025246338</v>
      </c>
    </row>
    <row r="41" spans="2:7" x14ac:dyDescent="0.2">
      <c r="B41" s="13">
        <v>30</v>
      </c>
      <c r="C41" s="14">
        <f t="shared" si="5"/>
        <v>-113063.74025246338</v>
      </c>
      <c r="D41" s="14">
        <f t="shared" si="6"/>
        <v>17353.754391998009</v>
      </c>
      <c r="E41" s="14">
        <f t="shared" si="7"/>
        <v>-7914.4618176724371</v>
      </c>
      <c r="F41" s="14">
        <f t="shared" si="2"/>
        <v>9439.292574325571</v>
      </c>
      <c r="G41" s="14">
        <f t="shared" si="8"/>
        <v>-130417.49464446139</v>
      </c>
    </row>
    <row r="42" spans="2:7" x14ac:dyDescent="0.2">
      <c r="B42" s="13">
        <v>31</v>
      </c>
      <c r="C42" s="14">
        <f t="shared" si="5"/>
        <v>-130417.49464446139</v>
      </c>
      <c r="D42" s="14">
        <f t="shared" si="6"/>
        <v>18568.517199437869</v>
      </c>
      <c r="E42" s="14">
        <f t="shared" si="7"/>
        <v>-9129.2246251122979</v>
      </c>
      <c r="F42" s="14">
        <f t="shared" si="2"/>
        <v>9439.292574325571</v>
      </c>
      <c r="G42" s="14">
        <f t="shared" si="8"/>
        <v>-148986.01184389926</v>
      </c>
    </row>
    <row r="43" spans="2:7" x14ac:dyDescent="0.2">
      <c r="B43" s="13">
        <v>32</v>
      </c>
      <c r="C43" s="14">
        <f t="shared" si="5"/>
        <v>-148986.01184389926</v>
      </c>
      <c r="D43" s="14">
        <f t="shared" si="6"/>
        <v>19868.313403398519</v>
      </c>
      <c r="E43" s="14">
        <f t="shared" si="7"/>
        <v>-10429.02082907295</v>
      </c>
      <c r="F43" s="14">
        <f t="shared" si="2"/>
        <v>9439.292574325571</v>
      </c>
      <c r="G43" s="14">
        <f t="shared" si="8"/>
        <v>-168854.32524729779</v>
      </c>
    </row>
    <row r="44" spans="2:7" x14ac:dyDescent="0.2">
      <c r="B44" s="13">
        <v>33</v>
      </c>
      <c r="C44" s="14">
        <f t="shared" si="5"/>
        <v>-168854.32524729779</v>
      </c>
      <c r="D44" s="14">
        <f t="shared" si="6"/>
        <v>21259.095341636417</v>
      </c>
      <c r="E44" s="14">
        <f t="shared" si="7"/>
        <v>-11819.802767310846</v>
      </c>
      <c r="F44" s="14">
        <f t="shared" si="2"/>
        <v>9439.292574325571</v>
      </c>
      <c r="G44" s="14">
        <f t="shared" si="8"/>
        <v>-190113.42058893421</v>
      </c>
    </row>
    <row r="45" spans="2:7" x14ac:dyDescent="0.2">
      <c r="B45" s="13">
        <v>34</v>
      </c>
      <c r="C45" s="14">
        <f t="shared" si="5"/>
        <v>-190113.42058893421</v>
      </c>
      <c r="D45" s="14">
        <f t="shared" si="6"/>
        <v>22747.232015550966</v>
      </c>
      <c r="E45" s="14">
        <f t="shared" si="7"/>
        <v>-13307.939441225397</v>
      </c>
      <c r="F45" s="14">
        <f t="shared" si="2"/>
        <v>9439.292574325571</v>
      </c>
      <c r="G45" s="14">
        <f t="shared" si="8"/>
        <v>-212860.65260448516</v>
      </c>
    </row>
    <row r="46" spans="2:7" x14ac:dyDescent="0.2">
      <c r="B46" s="13">
        <v>35</v>
      </c>
      <c r="C46" s="14">
        <f t="shared" si="5"/>
        <v>-212860.65260448516</v>
      </c>
      <c r="D46" s="14">
        <f t="shared" si="6"/>
        <v>24339.538256639535</v>
      </c>
      <c r="E46" s="14">
        <f t="shared" si="7"/>
        <v>-14900.245682313964</v>
      </c>
      <c r="F46" s="14">
        <f t="shared" si="2"/>
        <v>9439.292574325571</v>
      </c>
      <c r="G46" s="14">
        <f t="shared" si="8"/>
        <v>-237200.19086112469</v>
      </c>
    </row>
    <row r="47" spans="2:7" x14ac:dyDescent="0.2">
      <c r="B47" s="13">
        <v>36</v>
      </c>
      <c r="C47" s="14">
        <f t="shared" si="5"/>
        <v>-237200.19086112469</v>
      </c>
      <c r="D47" s="14">
        <f t="shared" si="6"/>
        <v>26043.305934604301</v>
      </c>
      <c r="E47" s="14">
        <f t="shared" si="7"/>
        <v>-16604.013360278728</v>
      </c>
      <c r="F47" s="14">
        <f t="shared" si="2"/>
        <v>9439.292574325571</v>
      </c>
      <c r="G47" s="14">
        <f t="shared" si="8"/>
        <v>-263243.49679572898</v>
      </c>
    </row>
    <row r="48" spans="2:7" x14ac:dyDescent="0.2">
      <c r="B48" s="13">
        <v>37</v>
      </c>
      <c r="C48" s="14">
        <f t="shared" si="5"/>
        <v>-263243.49679572898</v>
      </c>
      <c r="D48" s="14">
        <f t="shared" si="6"/>
        <v>27866.337350026603</v>
      </c>
      <c r="E48" s="14">
        <f t="shared" si="7"/>
        <v>-18427.04477570103</v>
      </c>
      <c r="F48" s="14">
        <f t="shared" si="2"/>
        <v>9439.292574325571</v>
      </c>
      <c r="G48" s="14">
        <f t="shared" si="8"/>
        <v>-291109.83414575557</v>
      </c>
    </row>
    <row r="49" spans="2:7" x14ac:dyDescent="0.2">
      <c r="B49" s="13">
        <v>38</v>
      </c>
      <c r="C49" s="14">
        <f t="shared" si="5"/>
        <v>-291109.83414575557</v>
      </c>
      <c r="D49" s="14">
        <f t="shared" si="6"/>
        <v>29816.980964528462</v>
      </c>
      <c r="E49" s="14">
        <f t="shared" si="7"/>
        <v>-20377.688390202893</v>
      </c>
      <c r="F49" s="14">
        <f t="shared" si="2"/>
        <v>9439.292574325571</v>
      </c>
      <c r="G49" s="14">
        <f t="shared" si="8"/>
        <v>-320926.81511028402</v>
      </c>
    </row>
    <row r="50" spans="2:7" x14ac:dyDescent="0.2">
      <c r="B50" s="13">
        <v>39</v>
      </c>
      <c r="C50" s="14">
        <f t="shared" si="5"/>
        <v>-320926.81511028402</v>
      </c>
      <c r="D50" s="14">
        <f t="shared" si="6"/>
        <v>31904.169632045458</v>
      </c>
      <c r="E50" s="14">
        <f t="shared" si="7"/>
        <v>-22464.877057719885</v>
      </c>
      <c r="F50" s="14">
        <f t="shared" si="2"/>
        <v>9439.292574325571</v>
      </c>
      <c r="G50" s="14">
        <f t="shared" si="8"/>
        <v>-352830.98474232946</v>
      </c>
    </row>
    <row r="51" spans="2:7" x14ac:dyDescent="0.2">
      <c r="B51" s="13">
        <v>40</v>
      </c>
      <c r="C51" s="14">
        <f t="shared" si="5"/>
        <v>-352830.98474232946</v>
      </c>
      <c r="D51" s="14">
        <f t="shared" si="6"/>
        <v>34137.461506288637</v>
      </c>
      <c r="E51" s="14">
        <f t="shared" si="7"/>
        <v>-24698.168931963064</v>
      </c>
      <c r="F51" s="14">
        <f t="shared" si="2"/>
        <v>9439.292574325571</v>
      </c>
      <c r="G51" s="14">
        <f t="shared" si="8"/>
        <v>-386968.44624861807</v>
      </c>
    </row>
    <row r="52" spans="2:7" x14ac:dyDescent="0.2">
      <c r="B52" s="13">
        <v>41</v>
      </c>
      <c r="C52" s="14">
        <f t="shared" si="5"/>
        <v>-386968.44624861807</v>
      </c>
      <c r="D52" s="14">
        <f t="shared" si="6"/>
        <v>36527.083811728837</v>
      </c>
      <c r="E52" s="14">
        <f t="shared" si="7"/>
        <v>-27087.791237403268</v>
      </c>
      <c r="F52" s="14">
        <f t="shared" si="2"/>
        <v>9439.292574325571</v>
      </c>
      <c r="G52" s="14">
        <f t="shared" si="8"/>
        <v>-423495.53006034694</v>
      </c>
    </row>
    <row r="53" spans="2:7" x14ac:dyDescent="0.2">
      <c r="B53" s="13">
        <v>42</v>
      </c>
      <c r="C53" s="14">
        <f t="shared" si="5"/>
        <v>-423495.53006034694</v>
      </c>
      <c r="D53" s="14">
        <f t="shared" si="6"/>
        <v>39083.979678549862</v>
      </c>
      <c r="E53" s="14">
        <f t="shared" si="7"/>
        <v>-29644.687104224289</v>
      </c>
      <c r="F53" s="14">
        <f t="shared" si="2"/>
        <v>9439.292574325571</v>
      </c>
      <c r="G53" s="14">
        <f t="shared" si="8"/>
        <v>-462579.5097388968</v>
      </c>
    </row>
    <row r="54" spans="2:7" x14ac:dyDescent="0.2">
      <c r="B54" s="13">
        <v>43</v>
      </c>
      <c r="C54" s="14">
        <f t="shared" si="5"/>
        <v>-462579.5097388968</v>
      </c>
      <c r="D54" s="14">
        <f t="shared" si="6"/>
        <v>41819.858256048348</v>
      </c>
      <c r="E54" s="14">
        <f t="shared" si="7"/>
        <v>-32380.565681722779</v>
      </c>
      <c r="F54" s="14">
        <f t="shared" si="2"/>
        <v>9439.292574325571</v>
      </c>
      <c r="G54" s="14">
        <f t="shared" si="8"/>
        <v>-504399.36799494515</v>
      </c>
    </row>
    <row r="55" spans="2:7" x14ac:dyDescent="0.2">
      <c r="B55" s="13">
        <v>44</v>
      </c>
      <c r="C55" s="14">
        <f t="shared" si="5"/>
        <v>-504399.36799494515</v>
      </c>
      <c r="D55" s="14">
        <f t="shared" si="6"/>
        <v>44747.248333971736</v>
      </c>
      <c r="E55" s="14">
        <f t="shared" si="7"/>
        <v>-35307.955759646167</v>
      </c>
      <c r="F55" s="14">
        <f t="shared" si="2"/>
        <v>9439.292574325571</v>
      </c>
      <c r="G55" s="14">
        <f t="shared" si="8"/>
        <v>-549146.61632891686</v>
      </c>
    </row>
    <row r="56" spans="2:7" x14ac:dyDescent="0.2">
      <c r="B56" s="13">
        <v>45</v>
      </c>
      <c r="C56" s="14">
        <f t="shared" si="5"/>
        <v>-549146.61632891686</v>
      </c>
      <c r="D56" s="14">
        <f t="shared" si="6"/>
        <v>47879.555717349751</v>
      </c>
      <c r="E56" s="14">
        <f t="shared" si="7"/>
        <v>-38440.263143024182</v>
      </c>
      <c r="F56" s="14">
        <f t="shared" si="2"/>
        <v>9439.292574325571</v>
      </c>
      <c r="G56" s="14">
        <f t="shared" si="8"/>
        <v>-597026.17204626661</v>
      </c>
    </row>
    <row r="57" spans="2:7" x14ac:dyDescent="0.2">
      <c r="B57" s="13">
        <v>46</v>
      </c>
      <c r="C57" s="14">
        <f t="shared" si="5"/>
        <v>-597026.17204626661</v>
      </c>
      <c r="D57" s="14">
        <f t="shared" si="6"/>
        <v>51231.124617564237</v>
      </c>
      <c r="E57" s="14">
        <f t="shared" si="7"/>
        <v>-41791.832043238668</v>
      </c>
      <c r="F57" s="14">
        <f t="shared" si="2"/>
        <v>9439.292574325571</v>
      </c>
      <c r="G57" s="14">
        <f t="shared" si="8"/>
        <v>-648257.29666383087</v>
      </c>
    </row>
    <row r="58" spans="2:7" x14ac:dyDescent="0.2">
      <c r="B58" s="13">
        <v>47</v>
      </c>
      <c r="C58" s="14">
        <f t="shared" si="5"/>
        <v>-648257.29666383087</v>
      </c>
      <c r="D58" s="14">
        <f t="shared" si="6"/>
        <v>54817.303340793733</v>
      </c>
      <c r="E58" s="14">
        <f t="shared" si="7"/>
        <v>-45378.010766468164</v>
      </c>
      <c r="F58" s="14">
        <f t="shared" si="2"/>
        <v>9439.292574325571</v>
      </c>
      <c r="G58" s="14">
        <f t="shared" si="8"/>
        <v>-703074.60000462458</v>
      </c>
    </row>
    <row r="59" spans="2:7" x14ac:dyDescent="0.2">
      <c r="B59" s="13">
        <v>48</v>
      </c>
      <c r="C59" s="14">
        <f t="shared" si="5"/>
        <v>-703074.60000462458</v>
      </c>
      <c r="D59" s="14">
        <f t="shared" si="6"/>
        <v>58654.514574649293</v>
      </c>
      <c r="E59" s="14">
        <f t="shared" si="7"/>
        <v>-49215.222000323723</v>
      </c>
      <c r="F59" s="14">
        <f t="shared" si="2"/>
        <v>9439.292574325571</v>
      </c>
      <c r="G59" s="14">
        <f t="shared" si="8"/>
        <v>-761729.11457927385</v>
      </c>
    </row>
    <row r="60" spans="2:7" x14ac:dyDescent="0.2">
      <c r="B60" s="13">
        <v>49</v>
      </c>
      <c r="C60" s="14">
        <f t="shared" si="5"/>
        <v>-761729.11457927385</v>
      </c>
      <c r="D60" s="14">
        <f t="shared" si="6"/>
        <v>62760.330594874744</v>
      </c>
      <c r="E60" s="14">
        <f t="shared" si="7"/>
        <v>-53321.038020549175</v>
      </c>
      <c r="F60" s="14">
        <f t="shared" si="2"/>
        <v>9439.292574325571</v>
      </c>
      <c r="G60" s="14">
        <f t="shared" si="8"/>
        <v>-824489.44517414854</v>
      </c>
    </row>
    <row r="61" spans="2:7" x14ac:dyDescent="0.2">
      <c r="B61" s="13">
        <v>50</v>
      </c>
      <c r="C61" s="14">
        <f t="shared" si="5"/>
        <v>-824489.44517414854</v>
      </c>
      <c r="D61" s="14">
        <f t="shared" si="6"/>
        <v>67153.553736515969</v>
      </c>
      <c r="E61" s="14">
        <f t="shared" si="7"/>
        <v>-57714.2611621904</v>
      </c>
      <c r="F61" s="14">
        <f t="shared" si="2"/>
        <v>9439.292574325571</v>
      </c>
      <c r="G61" s="14">
        <f t="shared" si="8"/>
        <v>-891642.99891066446</v>
      </c>
    </row>
    <row r="62" spans="2:7" x14ac:dyDescent="0.2">
      <c r="B62" s="13">
        <v>51</v>
      </c>
      <c r="C62" s="14">
        <f t="shared" si="5"/>
        <v>-891642.99891066446</v>
      </c>
      <c r="D62" s="14">
        <f t="shared" si="6"/>
        <v>71854.302498072095</v>
      </c>
      <c r="E62" s="14">
        <f t="shared" si="7"/>
        <v>-62415.009923746518</v>
      </c>
      <c r="F62" s="14">
        <f t="shared" si="2"/>
        <v>9439.292574325571</v>
      </c>
      <c r="G62" s="14">
        <f t="shared" si="8"/>
        <v>-963497.3014087365</v>
      </c>
    </row>
    <row r="63" spans="2:7" x14ac:dyDescent="0.2">
      <c r="B63" s="13">
        <v>52</v>
      </c>
      <c r="C63" s="14">
        <f t="shared" si="5"/>
        <v>-963497.3014087365</v>
      </c>
      <c r="D63" s="14">
        <f t="shared" si="6"/>
        <v>76884.103672937141</v>
      </c>
      <c r="E63" s="14">
        <f t="shared" si="7"/>
        <v>-67444.811098611564</v>
      </c>
      <c r="F63" s="14">
        <f t="shared" si="2"/>
        <v>9439.292574325571</v>
      </c>
      <c r="G63" s="14">
        <f t="shared" si="8"/>
        <v>-1040381.4050816736</v>
      </c>
    </row>
    <row r="64" spans="2:7" x14ac:dyDescent="0.2">
      <c r="B64" s="13">
        <v>53</v>
      </c>
      <c r="C64" s="14">
        <f t="shared" si="5"/>
        <v>-1040381.4050816736</v>
      </c>
      <c r="D64" s="14">
        <f t="shared" si="6"/>
        <v>82265.990930042739</v>
      </c>
      <c r="E64" s="14">
        <f t="shared" si="7"/>
        <v>-72826.698355717162</v>
      </c>
      <c r="F64" s="14">
        <f t="shared" si="2"/>
        <v>9439.292574325571</v>
      </c>
      <c r="G64" s="14">
        <f t="shared" si="8"/>
        <v>-1122647.3960117165</v>
      </c>
    </row>
    <row r="65" spans="2:7" x14ac:dyDescent="0.2">
      <c r="B65" s="13">
        <v>54</v>
      </c>
      <c r="C65" s="14">
        <f t="shared" si="5"/>
        <v>-1122647.3960117165</v>
      </c>
      <c r="D65" s="14">
        <f t="shared" si="6"/>
        <v>88024.610295145729</v>
      </c>
      <c r="E65" s="14">
        <f t="shared" si="7"/>
        <v>-78585.317720820152</v>
      </c>
      <c r="F65" s="14">
        <f t="shared" si="2"/>
        <v>9439.292574325571</v>
      </c>
      <c r="G65" s="14">
        <f t="shared" si="8"/>
        <v>-1210672.0063068622</v>
      </c>
    </row>
    <row r="66" spans="2:7" x14ac:dyDescent="0.2">
      <c r="B66" s="13">
        <v>55</v>
      </c>
      <c r="C66" s="14">
        <f t="shared" si="5"/>
        <v>-1210672.0063068622</v>
      </c>
      <c r="D66" s="14">
        <f t="shared" si="6"/>
        <v>94186.33301580594</v>
      </c>
      <c r="E66" s="14">
        <f t="shared" si="7"/>
        <v>-84747.040441480363</v>
      </c>
      <c r="F66" s="14">
        <f t="shared" si="2"/>
        <v>9439.292574325571</v>
      </c>
      <c r="G66" s="14">
        <f t="shared" si="8"/>
        <v>-1304858.3393226683</v>
      </c>
    </row>
    <row r="67" spans="2:7" x14ac:dyDescent="0.2">
      <c r="B67" s="13">
        <v>56</v>
      </c>
      <c r="C67" s="14">
        <f t="shared" si="5"/>
        <v>-1304858.3393226683</v>
      </c>
      <c r="D67" s="14">
        <f t="shared" si="6"/>
        <v>100779.37632691236</v>
      </c>
      <c r="E67" s="14">
        <f t="shared" si="7"/>
        <v>-91340.083752586783</v>
      </c>
      <c r="F67" s="14">
        <f t="shared" si="2"/>
        <v>9439.292574325571</v>
      </c>
      <c r="G67" s="14">
        <f t="shared" si="8"/>
        <v>-1405637.7156495806</v>
      </c>
    </row>
    <row r="68" spans="2:7" x14ac:dyDescent="0.2">
      <c r="B68" s="13">
        <v>57</v>
      </c>
      <c r="C68" s="14">
        <f t="shared" si="5"/>
        <v>-1405637.7156495806</v>
      </c>
      <c r="D68" s="14">
        <f t="shared" si="6"/>
        <v>107833.93266979622</v>
      </c>
      <c r="E68" s="14">
        <f t="shared" si="7"/>
        <v>-98394.640095470648</v>
      </c>
      <c r="F68" s="14">
        <f t="shared" si="2"/>
        <v>9439.292574325571</v>
      </c>
      <c r="G68" s="14">
        <f t="shared" si="8"/>
        <v>-1513471.6483193769</v>
      </c>
    </row>
    <row r="69" spans="2:7" x14ac:dyDescent="0.2">
      <c r="B69" s="13">
        <v>58</v>
      </c>
      <c r="C69" s="14">
        <f t="shared" si="5"/>
        <v>-1513471.6483193769</v>
      </c>
      <c r="D69" s="14">
        <f t="shared" si="6"/>
        <v>115382.30795668197</v>
      </c>
      <c r="E69" s="14">
        <f t="shared" si="7"/>
        <v>-105943.01538235639</v>
      </c>
      <c r="F69" s="14">
        <f t="shared" si="2"/>
        <v>9439.292574325571</v>
      </c>
      <c r="G69" s="14">
        <f t="shared" si="8"/>
        <v>-1628853.9562760589</v>
      </c>
    </row>
    <row r="70" spans="2:7" x14ac:dyDescent="0.2">
      <c r="B70" s="13">
        <v>59</v>
      </c>
      <c r="C70" s="14">
        <f t="shared" si="5"/>
        <v>-1628853.9562760589</v>
      </c>
      <c r="D70" s="14">
        <f t="shared" si="6"/>
        <v>123459.06951364971</v>
      </c>
      <c r="E70" s="14">
        <f t="shared" si="7"/>
        <v>-114019.77693932413</v>
      </c>
      <c r="F70" s="14">
        <f t="shared" si="2"/>
        <v>9439.292574325571</v>
      </c>
      <c r="G70" s="14">
        <f t="shared" si="8"/>
        <v>-1752313.0257897086</v>
      </c>
    </row>
    <row r="71" spans="2:7" x14ac:dyDescent="0.2">
      <c r="B71" s="13">
        <v>60</v>
      </c>
      <c r="C71" s="14">
        <f t="shared" si="5"/>
        <v>-1752313.0257897086</v>
      </c>
      <c r="D71" s="14">
        <f t="shared" si="6"/>
        <v>132101.20437960519</v>
      </c>
      <c r="E71" s="14">
        <f t="shared" si="7"/>
        <v>-122661.91180527961</v>
      </c>
      <c r="F71" s="14">
        <f t="shared" si="2"/>
        <v>9439.292574325571</v>
      </c>
      <c r="G71" s="14">
        <f t="shared" si="8"/>
        <v>-1884414.2301693137</v>
      </c>
    </row>
    <row r="72" spans="2:7" x14ac:dyDescent="0.2">
      <c r="B72" s="13">
        <v>61</v>
      </c>
      <c r="C72" s="14">
        <f t="shared" si="5"/>
        <v>-1884414.2301693137</v>
      </c>
      <c r="D72" s="14">
        <f t="shared" si="6"/>
        <v>141348.28868617755</v>
      </c>
      <c r="E72" s="14">
        <f t="shared" si="7"/>
        <v>-131908.99611185197</v>
      </c>
      <c r="F72" s="14">
        <f t="shared" si="2"/>
        <v>9439.292574325571</v>
      </c>
      <c r="G72" s="14">
        <f t="shared" si="8"/>
        <v>-2025762.5188554912</v>
      </c>
    </row>
    <row r="73" spans="2:7" x14ac:dyDescent="0.2">
      <c r="B73" s="13">
        <v>62</v>
      </c>
      <c r="C73" s="14">
        <f t="shared" si="5"/>
        <v>-2025762.5188554912</v>
      </c>
      <c r="D73" s="14">
        <f t="shared" si="6"/>
        <v>151242.66889420999</v>
      </c>
      <c r="E73" s="14">
        <f t="shared" si="7"/>
        <v>-141803.37631988441</v>
      </c>
      <c r="F73" s="14">
        <f t="shared" si="2"/>
        <v>9439.292574325571</v>
      </c>
      <c r="G73" s="14">
        <f t="shared" si="8"/>
        <v>-2177005.1877497011</v>
      </c>
    </row>
    <row r="74" spans="2:7" x14ac:dyDescent="0.2">
      <c r="B74" s="13">
        <v>63</v>
      </c>
      <c r="C74" s="14">
        <f t="shared" si="5"/>
        <v>-2177005.1877497011</v>
      </c>
      <c r="D74" s="14">
        <f t="shared" si="6"/>
        <v>161829.65571680467</v>
      </c>
      <c r="E74" s="14">
        <f t="shared" si="7"/>
        <v>-152390.36314247909</v>
      </c>
      <c r="F74" s="14">
        <f t="shared" si="2"/>
        <v>9439.292574325571</v>
      </c>
      <c r="G74" s="14">
        <f t="shared" si="8"/>
        <v>-2338834.8434665059</v>
      </c>
    </row>
    <row r="75" spans="2:7" x14ac:dyDescent="0.2">
      <c r="B75" s="13">
        <v>64</v>
      </c>
      <c r="C75" s="14">
        <f t="shared" si="5"/>
        <v>-2338834.8434665059</v>
      </c>
      <c r="D75" s="14">
        <f t="shared" si="6"/>
        <v>173157.73161698101</v>
      </c>
      <c r="E75" s="14">
        <f t="shared" si="7"/>
        <v>-163718.43904265543</v>
      </c>
      <c r="F75" s="14">
        <f t="shared" si="2"/>
        <v>9439.292574325571</v>
      </c>
      <c r="G75" s="14">
        <f t="shared" si="8"/>
        <v>-2511992.5750834867</v>
      </c>
    </row>
    <row r="76" spans="2:7" x14ac:dyDescent="0.2">
      <c r="B76" s="13">
        <v>65</v>
      </c>
      <c r="C76" s="14">
        <f t="shared" si="5"/>
        <v>-2511992.5750834867</v>
      </c>
      <c r="D76" s="14">
        <f t="shared" si="6"/>
        <v>185278.77283016968</v>
      </c>
      <c r="E76" s="14">
        <f t="shared" si="7"/>
        <v>-175839.4802558441</v>
      </c>
      <c r="F76" s="14">
        <f t="shared" si="2"/>
        <v>9439.292574325571</v>
      </c>
      <c r="G76" s="14">
        <f t="shared" si="8"/>
        <v>-2697271.3479136564</v>
      </c>
    </row>
    <row r="77" spans="2:7" x14ac:dyDescent="0.2">
      <c r="B77" s="13">
        <v>66</v>
      </c>
      <c r="C77" s="14">
        <f t="shared" si="5"/>
        <v>-2697271.3479136564</v>
      </c>
      <c r="D77" s="14">
        <f t="shared" si="6"/>
        <v>198248.28692828154</v>
      </c>
      <c r="E77" s="14">
        <f t="shared" si="7"/>
        <v>-188808.99435395596</v>
      </c>
      <c r="F77" s="14">
        <f t="shared" ref="F77:F131" si="9">IF($D$7=1,$C$7,$C$8)</f>
        <v>9439.292574325571</v>
      </c>
      <c r="G77" s="14">
        <f t="shared" si="8"/>
        <v>-2895519.634841938</v>
      </c>
    </row>
    <row r="78" spans="2:7" x14ac:dyDescent="0.2">
      <c r="B78" s="13">
        <v>67</v>
      </c>
      <c r="C78" s="14">
        <f t="shared" si="5"/>
        <v>-2895519.634841938</v>
      </c>
      <c r="D78" s="14">
        <f t="shared" si="6"/>
        <v>212125.66701326126</v>
      </c>
      <c r="E78" s="14">
        <f t="shared" si="7"/>
        <v>-202686.37443893569</v>
      </c>
      <c r="F78" s="14">
        <f t="shared" si="9"/>
        <v>9439.292574325571</v>
      </c>
      <c r="G78" s="14">
        <f t="shared" si="8"/>
        <v>-3107645.3018551995</v>
      </c>
    </row>
    <row r="79" spans="2:7" x14ac:dyDescent="0.2">
      <c r="B79" s="13">
        <v>68</v>
      </c>
      <c r="C79" s="14">
        <f t="shared" si="5"/>
        <v>-3107645.3018551995</v>
      </c>
      <c r="D79" s="14">
        <f t="shared" si="6"/>
        <v>226974.46370418958</v>
      </c>
      <c r="E79" s="14">
        <f t="shared" si="7"/>
        <v>-217535.171129864</v>
      </c>
      <c r="F79" s="14">
        <f t="shared" si="9"/>
        <v>9439.292574325571</v>
      </c>
      <c r="G79" s="14">
        <f t="shared" si="8"/>
        <v>-3334619.7655593893</v>
      </c>
    </row>
    <row r="80" spans="2:7" x14ac:dyDescent="0.2">
      <c r="B80" s="13">
        <v>69</v>
      </c>
      <c r="C80" s="14">
        <f t="shared" si="5"/>
        <v>-3334619.7655593893</v>
      </c>
      <c r="D80" s="14">
        <f t="shared" si="6"/>
        <v>242862.67616348286</v>
      </c>
      <c r="E80" s="14">
        <f t="shared" si="7"/>
        <v>-233423.38358915728</v>
      </c>
      <c r="F80" s="14">
        <f t="shared" si="9"/>
        <v>9439.292574325571</v>
      </c>
      <c r="G80" s="14">
        <f t="shared" si="8"/>
        <v>-3577482.4417228722</v>
      </c>
    </row>
    <row r="81" spans="2:7" x14ac:dyDescent="0.2">
      <c r="B81" s="13">
        <v>70</v>
      </c>
      <c r="C81" s="14">
        <f t="shared" si="5"/>
        <v>-3577482.4417228722</v>
      </c>
      <c r="D81" s="14">
        <f t="shared" si="6"/>
        <v>259863.06349492667</v>
      </c>
      <c r="E81" s="14">
        <f t="shared" si="7"/>
        <v>-250423.77092060109</v>
      </c>
      <c r="F81" s="14">
        <f t="shared" si="9"/>
        <v>9439.292574325571</v>
      </c>
      <c r="G81" s="14">
        <f t="shared" si="8"/>
        <v>-3837345.505217799</v>
      </c>
    </row>
    <row r="82" spans="2:7" x14ac:dyDescent="0.2">
      <c r="B82" s="13">
        <v>71</v>
      </c>
      <c r="C82" s="14">
        <f t="shared" si="5"/>
        <v>-3837345.505217799</v>
      </c>
      <c r="D82" s="14">
        <f t="shared" si="6"/>
        <v>278053.47793957154</v>
      </c>
      <c r="E82" s="14">
        <f t="shared" si="7"/>
        <v>-268614.18536524597</v>
      </c>
      <c r="F82" s="14">
        <f t="shared" si="9"/>
        <v>9439.292574325571</v>
      </c>
      <c r="G82" s="14">
        <f t="shared" si="8"/>
        <v>-4115398.9831573707</v>
      </c>
    </row>
    <row r="83" spans="2:7" x14ac:dyDescent="0.2">
      <c r="B83" s="13">
        <v>72</v>
      </c>
      <c r="C83" s="14">
        <f t="shared" si="5"/>
        <v>-4115398.9831573707</v>
      </c>
      <c r="D83" s="14">
        <f t="shared" si="6"/>
        <v>297517.22139534156</v>
      </c>
      <c r="E83" s="14">
        <f t="shared" si="7"/>
        <v>-288077.92882101599</v>
      </c>
      <c r="F83" s="14">
        <f t="shared" si="9"/>
        <v>9439.292574325571</v>
      </c>
      <c r="G83" s="14">
        <f t="shared" si="8"/>
        <v>-4412916.2045527119</v>
      </c>
    </row>
    <row r="84" spans="2:7" x14ac:dyDescent="0.2">
      <c r="B84" s="13">
        <v>73</v>
      </c>
      <c r="C84" s="14">
        <f t="shared" si="5"/>
        <v>-4412916.2045527119</v>
      </c>
      <c r="D84" s="14">
        <f t="shared" si="6"/>
        <v>318343.42689301545</v>
      </c>
      <c r="E84" s="14">
        <f t="shared" si="7"/>
        <v>-308904.13431868987</v>
      </c>
      <c r="F84" s="14">
        <f t="shared" si="9"/>
        <v>9439.292574325571</v>
      </c>
      <c r="G84" s="14">
        <f t="shared" si="8"/>
        <v>-4731259.6314457273</v>
      </c>
    </row>
    <row r="85" spans="2:7" x14ac:dyDescent="0.2">
      <c r="B85" s="13">
        <v>74</v>
      </c>
      <c r="C85" s="14">
        <f t="shared" si="5"/>
        <v>-4731259.6314457273</v>
      </c>
      <c r="D85" s="14">
        <f t="shared" si="6"/>
        <v>340627.46677552653</v>
      </c>
      <c r="E85" s="14">
        <f t="shared" si="7"/>
        <v>-331188.17420120095</v>
      </c>
      <c r="F85" s="14">
        <f t="shared" si="9"/>
        <v>9439.292574325571</v>
      </c>
      <c r="G85" s="14">
        <f t="shared" si="8"/>
        <v>-5071887.0982212536</v>
      </c>
    </row>
    <row r="86" spans="2:7" x14ac:dyDescent="0.2">
      <c r="B86" s="13">
        <v>75</v>
      </c>
      <c r="C86" s="14">
        <f t="shared" si="5"/>
        <v>-5071887.0982212536</v>
      </c>
      <c r="D86" s="14">
        <f t="shared" si="6"/>
        <v>364471.38944981334</v>
      </c>
      <c r="E86" s="14">
        <f t="shared" si="7"/>
        <v>-355032.09687548777</v>
      </c>
      <c r="F86" s="14">
        <f t="shared" si="9"/>
        <v>9439.292574325571</v>
      </c>
      <c r="G86" s="14">
        <f t="shared" si="8"/>
        <v>-5436358.487671067</v>
      </c>
    </row>
    <row r="87" spans="2:7" x14ac:dyDescent="0.2">
      <c r="B87" s="13">
        <v>76</v>
      </c>
      <c r="C87" s="14">
        <f t="shared" si="5"/>
        <v>-5436358.487671067</v>
      </c>
      <c r="D87" s="14">
        <f t="shared" si="6"/>
        <v>389984.38671130029</v>
      </c>
      <c r="E87" s="14">
        <f t="shared" si="7"/>
        <v>-380545.09413697472</v>
      </c>
      <c r="F87" s="14">
        <f t="shared" si="9"/>
        <v>9439.292574325571</v>
      </c>
      <c r="G87" s="14">
        <f t="shared" si="8"/>
        <v>-5826342.8743823674</v>
      </c>
    </row>
    <row r="88" spans="2:7" x14ac:dyDescent="0.2">
      <c r="B88" s="13">
        <v>77</v>
      </c>
      <c r="C88" s="14">
        <f t="shared" si="5"/>
        <v>-5826342.8743823674</v>
      </c>
      <c r="D88" s="14">
        <f t="shared" si="6"/>
        <v>417283.29378109134</v>
      </c>
      <c r="E88" s="14">
        <f t="shared" si="7"/>
        <v>-407844.00120676577</v>
      </c>
      <c r="F88" s="14">
        <f t="shared" si="9"/>
        <v>9439.292574325571</v>
      </c>
      <c r="G88" s="14">
        <f t="shared" si="8"/>
        <v>-6243626.1681634588</v>
      </c>
    </row>
    <row r="89" spans="2:7" x14ac:dyDescent="0.2">
      <c r="B89" s="13">
        <v>78</v>
      </c>
      <c r="C89" s="14">
        <f t="shared" si="5"/>
        <v>-6243626.1681634588</v>
      </c>
      <c r="D89" s="14">
        <f t="shared" si="6"/>
        <v>446493.12434576772</v>
      </c>
      <c r="E89" s="14">
        <f t="shared" si="7"/>
        <v>-437053.83177144214</v>
      </c>
      <c r="F89" s="14">
        <f t="shared" si="9"/>
        <v>9439.292574325571</v>
      </c>
      <c r="G89" s="14">
        <f t="shared" si="8"/>
        <v>-6690119.2925092261</v>
      </c>
    </row>
    <row r="90" spans="2:7" x14ac:dyDescent="0.2">
      <c r="B90" s="13">
        <v>79</v>
      </c>
      <c r="C90" s="14">
        <f t="shared" si="5"/>
        <v>-6690119.2925092261</v>
      </c>
      <c r="D90" s="14">
        <f t="shared" si="6"/>
        <v>477747.64304997143</v>
      </c>
      <c r="E90" s="14">
        <f t="shared" si="7"/>
        <v>-468308.35047564586</v>
      </c>
      <c r="F90" s="14">
        <f t="shared" si="9"/>
        <v>9439.292574325571</v>
      </c>
      <c r="G90" s="14">
        <f t="shared" si="8"/>
        <v>-7167866.9355591973</v>
      </c>
    </row>
    <row r="91" spans="2:7" x14ac:dyDescent="0.2">
      <c r="B91" s="13">
        <v>80</v>
      </c>
      <c r="C91" s="14">
        <f t="shared" ref="C91:C131" si="10">G90</f>
        <v>-7167866.9355591973</v>
      </c>
      <c r="D91" s="14">
        <f t="shared" ref="D91:D131" si="11">F91-E91</f>
        <v>511189.97806346946</v>
      </c>
      <c r="E91" s="14">
        <f t="shared" ref="E91:E131" si="12">IF($D$7=1,C91*$C$4%,C91*$C$4%/12)</f>
        <v>-501750.68548914389</v>
      </c>
      <c r="F91" s="14">
        <f t="shared" si="9"/>
        <v>9439.292574325571</v>
      </c>
      <c r="G91" s="14">
        <f t="shared" ref="G91:G131" si="13">C91-D91</f>
        <v>-7679056.9136226671</v>
      </c>
    </row>
    <row r="92" spans="2:7" x14ac:dyDescent="0.2">
      <c r="B92" s="13">
        <v>81</v>
      </c>
      <c r="C92" s="14">
        <f t="shared" si="10"/>
        <v>-7679056.9136226671</v>
      </c>
      <c r="D92" s="14">
        <f t="shared" si="11"/>
        <v>546973.27652791236</v>
      </c>
      <c r="E92" s="14">
        <f t="shared" si="12"/>
        <v>-537533.98395358678</v>
      </c>
      <c r="F92" s="14">
        <f t="shared" si="9"/>
        <v>9439.292574325571</v>
      </c>
      <c r="G92" s="14">
        <f t="shared" si="13"/>
        <v>-8226030.1901505794</v>
      </c>
    </row>
    <row r="93" spans="2:7" x14ac:dyDescent="0.2">
      <c r="B93" s="13">
        <v>82</v>
      </c>
      <c r="C93" s="14">
        <f t="shared" si="10"/>
        <v>-8226030.1901505794</v>
      </c>
      <c r="D93" s="14">
        <f t="shared" si="11"/>
        <v>585261.40588486614</v>
      </c>
      <c r="E93" s="14">
        <f t="shared" si="12"/>
        <v>-575822.11331054056</v>
      </c>
      <c r="F93" s="14">
        <f t="shared" si="9"/>
        <v>9439.292574325571</v>
      </c>
      <c r="G93" s="14">
        <f t="shared" si="13"/>
        <v>-8811291.5960354451</v>
      </c>
    </row>
    <row r="94" spans="2:7" x14ac:dyDescent="0.2">
      <c r="B94" s="13">
        <v>83</v>
      </c>
      <c r="C94" s="14">
        <f t="shared" si="10"/>
        <v>-8811291.5960354451</v>
      </c>
      <c r="D94" s="14">
        <f t="shared" si="11"/>
        <v>626229.70429680683</v>
      </c>
      <c r="E94" s="14">
        <f t="shared" si="12"/>
        <v>-616790.41172248125</v>
      </c>
      <c r="F94" s="14">
        <f t="shared" si="9"/>
        <v>9439.292574325571</v>
      </c>
      <c r="G94" s="14">
        <f t="shared" si="13"/>
        <v>-9437521.3003322519</v>
      </c>
    </row>
    <row r="95" spans="2:7" x14ac:dyDescent="0.2">
      <c r="B95" s="13">
        <v>84</v>
      </c>
      <c r="C95" s="14">
        <f t="shared" si="10"/>
        <v>-9437521.3003322519</v>
      </c>
      <c r="D95" s="14">
        <f t="shared" si="11"/>
        <v>670065.7835975833</v>
      </c>
      <c r="E95" s="14">
        <f t="shared" si="12"/>
        <v>-660626.49102325772</v>
      </c>
      <c r="F95" s="14">
        <f t="shared" si="9"/>
        <v>9439.292574325571</v>
      </c>
      <c r="G95" s="14">
        <f t="shared" si="13"/>
        <v>-10107587.083929835</v>
      </c>
    </row>
    <row r="96" spans="2:7" x14ac:dyDescent="0.2">
      <c r="B96" s="13">
        <v>85</v>
      </c>
      <c r="C96" s="14">
        <f t="shared" si="10"/>
        <v>-10107587.083929835</v>
      </c>
      <c r="D96" s="14">
        <f t="shared" si="11"/>
        <v>716970.38844941405</v>
      </c>
      <c r="E96" s="14">
        <f t="shared" si="12"/>
        <v>-707531.09587508847</v>
      </c>
      <c r="F96" s="14">
        <f t="shared" si="9"/>
        <v>9439.292574325571</v>
      </c>
      <c r="G96" s="14">
        <f t="shared" si="13"/>
        <v>-10824557.472379249</v>
      </c>
    </row>
    <row r="97" spans="2:7" x14ac:dyDescent="0.2">
      <c r="B97" s="13">
        <v>86</v>
      </c>
      <c r="C97" s="14">
        <f t="shared" si="10"/>
        <v>-10824557.472379249</v>
      </c>
      <c r="D97" s="14">
        <f t="shared" si="11"/>
        <v>767158.31564087304</v>
      </c>
      <c r="E97" s="14">
        <f t="shared" si="12"/>
        <v>-757719.02306654747</v>
      </c>
      <c r="F97" s="14">
        <f t="shared" si="9"/>
        <v>9439.292574325571</v>
      </c>
      <c r="G97" s="14">
        <f t="shared" si="13"/>
        <v>-11591715.788020121</v>
      </c>
    </row>
    <row r="98" spans="2:7" x14ac:dyDescent="0.2">
      <c r="B98" s="13">
        <v>87</v>
      </c>
      <c r="C98" s="14">
        <f t="shared" si="10"/>
        <v>-11591715.788020121</v>
      </c>
      <c r="D98" s="14">
        <f t="shared" si="11"/>
        <v>820859.39773573412</v>
      </c>
      <c r="E98" s="14">
        <f t="shared" si="12"/>
        <v>-811420.10516140854</v>
      </c>
      <c r="F98" s="14">
        <f t="shared" si="9"/>
        <v>9439.292574325571</v>
      </c>
      <c r="G98" s="14">
        <f t="shared" si="13"/>
        <v>-12412575.185755854</v>
      </c>
    </row>
    <row r="99" spans="2:7" x14ac:dyDescent="0.2">
      <c r="B99" s="13">
        <v>88</v>
      </c>
      <c r="C99" s="14">
        <f t="shared" si="10"/>
        <v>-12412575.185755854</v>
      </c>
      <c r="D99" s="14">
        <f t="shared" si="11"/>
        <v>878319.55557723553</v>
      </c>
      <c r="E99" s="14">
        <f t="shared" si="12"/>
        <v>-868880.26300290995</v>
      </c>
      <c r="F99" s="14">
        <f t="shared" si="9"/>
        <v>9439.292574325571</v>
      </c>
      <c r="G99" s="14">
        <f t="shared" si="13"/>
        <v>-13290894.74133309</v>
      </c>
    </row>
    <row r="100" spans="2:7" x14ac:dyDescent="0.2">
      <c r="B100" s="13">
        <v>89</v>
      </c>
      <c r="C100" s="14">
        <f t="shared" si="10"/>
        <v>-13290894.74133309</v>
      </c>
      <c r="D100" s="14">
        <f t="shared" si="11"/>
        <v>939801.92446764198</v>
      </c>
      <c r="E100" s="14">
        <f t="shared" si="12"/>
        <v>-930362.6318933164</v>
      </c>
      <c r="F100" s="14">
        <f t="shared" si="9"/>
        <v>9439.292574325571</v>
      </c>
      <c r="G100" s="14">
        <f t="shared" si="13"/>
        <v>-14230696.665800732</v>
      </c>
    </row>
    <row r="101" spans="2:7" x14ac:dyDescent="0.2">
      <c r="B101" s="13">
        <v>90</v>
      </c>
      <c r="C101" s="14">
        <f t="shared" si="10"/>
        <v>-14230696.665800732</v>
      </c>
      <c r="D101" s="14">
        <f t="shared" si="11"/>
        <v>1005588.0591803769</v>
      </c>
      <c r="E101" s="14">
        <f t="shared" si="12"/>
        <v>-996148.76660605136</v>
      </c>
      <c r="F101" s="14">
        <f t="shared" si="9"/>
        <v>9439.292574325571</v>
      </c>
      <c r="G101" s="14">
        <f t="shared" si="13"/>
        <v>-15236284.724981109</v>
      </c>
    </row>
    <row r="102" spans="2:7" x14ac:dyDescent="0.2">
      <c r="B102" s="13">
        <v>91</v>
      </c>
      <c r="C102" s="14">
        <f t="shared" si="10"/>
        <v>-15236284.724981109</v>
      </c>
      <c r="D102" s="14">
        <f t="shared" si="11"/>
        <v>1075979.2233230034</v>
      </c>
      <c r="E102" s="14">
        <f t="shared" si="12"/>
        <v>-1066539.9307486778</v>
      </c>
      <c r="F102" s="14">
        <f t="shared" si="9"/>
        <v>9439.292574325571</v>
      </c>
      <c r="G102" s="14">
        <f t="shared" si="13"/>
        <v>-16312263.948304113</v>
      </c>
    </row>
    <row r="103" spans="2:7" x14ac:dyDescent="0.2">
      <c r="B103" s="13">
        <v>92</v>
      </c>
      <c r="C103" s="14">
        <f t="shared" si="10"/>
        <v>-16312263.948304113</v>
      </c>
      <c r="D103" s="14">
        <f t="shared" si="11"/>
        <v>1151297.7689556135</v>
      </c>
      <c r="E103" s="14">
        <f t="shared" si="12"/>
        <v>-1141858.4763812879</v>
      </c>
      <c r="F103" s="14">
        <f t="shared" si="9"/>
        <v>9439.292574325571</v>
      </c>
      <c r="G103" s="14">
        <f t="shared" si="13"/>
        <v>-17463561.717259727</v>
      </c>
    </row>
    <row r="104" spans="2:7" x14ac:dyDescent="0.2">
      <c r="B104" s="13">
        <v>93</v>
      </c>
      <c r="C104" s="14">
        <f t="shared" si="10"/>
        <v>-17463561.717259727</v>
      </c>
      <c r="D104" s="14">
        <f t="shared" si="11"/>
        <v>1231888.6127825065</v>
      </c>
      <c r="E104" s="14">
        <f t="shared" si="12"/>
        <v>-1222449.3202081809</v>
      </c>
      <c r="F104" s="14">
        <f t="shared" si="9"/>
        <v>9439.292574325571</v>
      </c>
      <c r="G104" s="14">
        <f t="shared" si="13"/>
        <v>-18695450.330042236</v>
      </c>
    </row>
    <row r="105" spans="2:7" x14ac:dyDescent="0.2">
      <c r="B105" s="13">
        <v>94</v>
      </c>
      <c r="C105" s="14">
        <f t="shared" si="10"/>
        <v>-18695450.330042236</v>
      </c>
      <c r="D105" s="14">
        <f t="shared" si="11"/>
        <v>1318120.8156772822</v>
      </c>
      <c r="E105" s="14">
        <f t="shared" si="12"/>
        <v>-1308681.5231029566</v>
      </c>
      <c r="F105" s="14">
        <f t="shared" si="9"/>
        <v>9439.292574325571</v>
      </c>
      <c r="G105" s="14">
        <f t="shared" si="13"/>
        <v>-20013571.145719517</v>
      </c>
    </row>
    <row r="106" spans="2:7" x14ac:dyDescent="0.2">
      <c r="B106" s="13">
        <v>95</v>
      </c>
      <c r="C106" s="14">
        <f t="shared" si="10"/>
        <v>-20013571.145719517</v>
      </c>
      <c r="D106" s="14">
        <f t="shared" si="11"/>
        <v>1410389.2727746919</v>
      </c>
      <c r="E106" s="14">
        <f t="shared" si="12"/>
        <v>-1400949.9802003663</v>
      </c>
      <c r="F106" s="14">
        <f t="shared" si="9"/>
        <v>9439.292574325571</v>
      </c>
      <c r="G106" s="14">
        <f t="shared" si="13"/>
        <v>-21423960.41849421</v>
      </c>
    </row>
    <row r="107" spans="2:7" x14ac:dyDescent="0.2">
      <c r="B107" s="13">
        <v>96</v>
      </c>
      <c r="C107" s="14">
        <f t="shared" si="10"/>
        <v>-21423960.41849421</v>
      </c>
      <c r="D107" s="14">
        <f t="shared" si="11"/>
        <v>1509116.5218689204</v>
      </c>
      <c r="E107" s="14">
        <f t="shared" si="12"/>
        <v>-1499677.2292945948</v>
      </c>
      <c r="F107" s="14">
        <f t="shared" si="9"/>
        <v>9439.292574325571</v>
      </c>
      <c r="G107" s="14">
        <f t="shared" si="13"/>
        <v>-22933076.940363131</v>
      </c>
    </row>
    <row r="108" spans="2:7" x14ac:dyDescent="0.2">
      <c r="B108" s="13">
        <v>97</v>
      </c>
      <c r="C108" s="14">
        <f t="shared" si="10"/>
        <v>-22933076.940363131</v>
      </c>
      <c r="D108" s="14">
        <f t="shared" si="11"/>
        <v>1614754.6783997449</v>
      </c>
      <c r="E108" s="14">
        <f t="shared" si="12"/>
        <v>-1605315.3858254193</v>
      </c>
      <c r="F108" s="14">
        <f t="shared" si="9"/>
        <v>9439.292574325571</v>
      </c>
      <c r="G108" s="14">
        <f t="shared" si="13"/>
        <v>-24547831.618762877</v>
      </c>
    </row>
    <row r="109" spans="2:7" x14ac:dyDescent="0.2">
      <c r="B109" s="13">
        <v>98</v>
      </c>
      <c r="C109" s="14">
        <f t="shared" si="10"/>
        <v>-24547831.618762877</v>
      </c>
      <c r="D109" s="14">
        <f t="shared" si="11"/>
        <v>1727787.505887727</v>
      </c>
      <c r="E109" s="14">
        <f t="shared" si="12"/>
        <v>-1718348.2133134014</v>
      </c>
      <c r="F109" s="14">
        <f t="shared" si="9"/>
        <v>9439.292574325571</v>
      </c>
      <c r="G109" s="14">
        <f t="shared" si="13"/>
        <v>-26275619.124650605</v>
      </c>
    </row>
    <row r="110" spans="2:7" x14ac:dyDescent="0.2">
      <c r="B110" s="13">
        <v>99</v>
      </c>
      <c r="C110" s="14">
        <f t="shared" si="10"/>
        <v>-26275619.124650605</v>
      </c>
      <c r="D110" s="14">
        <f t="shared" si="11"/>
        <v>1848732.631299868</v>
      </c>
      <c r="E110" s="14">
        <f t="shared" si="12"/>
        <v>-1839293.3387255424</v>
      </c>
      <c r="F110" s="14">
        <f t="shared" si="9"/>
        <v>9439.292574325571</v>
      </c>
      <c r="G110" s="14">
        <f t="shared" si="13"/>
        <v>-28124351.755950473</v>
      </c>
    </row>
    <row r="111" spans="2:7" x14ac:dyDescent="0.2">
      <c r="B111" s="13">
        <v>100</v>
      </c>
      <c r="C111" s="14">
        <f t="shared" si="10"/>
        <v>-28124351.755950473</v>
      </c>
      <c r="D111" s="14">
        <f t="shared" si="11"/>
        <v>1978143.915490859</v>
      </c>
      <c r="E111" s="14">
        <f t="shared" si="12"/>
        <v>-1968704.6229165334</v>
      </c>
      <c r="F111" s="14">
        <f t="shared" si="9"/>
        <v>9439.292574325571</v>
      </c>
      <c r="G111" s="14">
        <f t="shared" si="13"/>
        <v>-30102495.671441332</v>
      </c>
    </row>
    <row r="112" spans="2:7" x14ac:dyDescent="0.2">
      <c r="B112" s="13">
        <v>101</v>
      </c>
      <c r="C112" s="14">
        <f t="shared" si="10"/>
        <v>-30102495.671441332</v>
      </c>
      <c r="D112" s="14">
        <f t="shared" si="11"/>
        <v>2116613.9895752189</v>
      </c>
      <c r="E112" s="14">
        <f t="shared" si="12"/>
        <v>-2107174.6970008933</v>
      </c>
      <c r="F112" s="14">
        <f t="shared" si="9"/>
        <v>9439.292574325571</v>
      </c>
      <c r="G112" s="14">
        <f t="shared" si="13"/>
        <v>-32219109.66101655</v>
      </c>
    </row>
    <row r="113" spans="2:7" x14ac:dyDescent="0.2">
      <c r="B113" s="13">
        <v>102</v>
      </c>
      <c r="C113" s="14">
        <f t="shared" si="10"/>
        <v>-32219109.66101655</v>
      </c>
      <c r="D113" s="14">
        <f t="shared" si="11"/>
        <v>2264776.9688454843</v>
      </c>
      <c r="E113" s="14">
        <f t="shared" si="12"/>
        <v>-2255337.6762711587</v>
      </c>
      <c r="F113" s="14">
        <f t="shared" si="9"/>
        <v>9439.292574325571</v>
      </c>
      <c r="G113" s="14">
        <f t="shared" si="13"/>
        <v>-34483886.629862033</v>
      </c>
    </row>
    <row r="114" spans="2:7" x14ac:dyDescent="0.2">
      <c r="B114" s="13">
        <v>103</v>
      </c>
      <c r="C114" s="14">
        <f t="shared" si="10"/>
        <v>-34483886.629862033</v>
      </c>
      <c r="D114" s="14">
        <f t="shared" si="11"/>
        <v>2423311.3566646683</v>
      </c>
      <c r="E114" s="14">
        <f t="shared" si="12"/>
        <v>-2413872.0640903427</v>
      </c>
      <c r="F114" s="14">
        <f t="shared" si="9"/>
        <v>9439.292574325571</v>
      </c>
      <c r="G114" s="14">
        <f t="shared" si="13"/>
        <v>-36907197.986526698</v>
      </c>
    </row>
    <row r="115" spans="2:7" x14ac:dyDescent="0.2">
      <c r="B115" s="13">
        <v>104</v>
      </c>
      <c r="C115" s="14">
        <f t="shared" si="10"/>
        <v>-36907197.986526698</v>
      </c>
      <c r="D115" s="14">
        <f t="shared" si="11"/>
        <v>2592943.1516311946</v>
      </c>
      <c r="E115" s="14">
        <f t="shared" si="12"/>
        <v>-2583503.8590568691</v>
      </c>
      <c r="F115" s="14">
        <f t="shared" si="9"/>
        <v>9439.292574325571</v>
      </c>
      <c r="G115" s="14">
        <f t="shared" si="13"/>
        <v>-39500141.138157889</v>
      </c>
    </row>
    <row r="116" spans="2:7" x14ac:dyDescent="0.2">
      <c r="B116" s="13">
        <v>105</v>
      </c>
      <c r="C116" s="14">
        <f t="shared" si="10"/>
        <v>-39500141.138157889</v>
      </c>
      <c r="D116" s="14">
        <f t="shared" si="11"/>
        <v>2774449.1722453781</v>
      </c>
      <c r="E116" s="14">
        <f t="shared" si="12"/>
        <v>-2765009.8796710526</v>
      </c>
      <c r="F116" s="14">
        <f t="shared" si="9"/>
        <v>9439.292574325571</v>
      </c>
      <c r="G116" s="14">
        <f t="shared" si="13"/>
        <v>-42274590.310403265</v>
      </c>
    </row>
    <row r="117" spans="2:7" x14ac:dyDescent="0.2">
      <c r="B117" s="13">
        <v>106</v>
      </c>
      <c r="C117" s="14">
        <f t="shared" si="10"/>
        <v>-42274590.310403265</v>
      </c>
      <c r="D117" s="14">
        <f t="shared" si="11"/>
        <v>2968660.6143025546</v>
      </c>
      <c r="E117" s="14">
        <f t="shared" si="12"/>
        <v>-2959221.3217282291</v>
      </c>
      <c r="F117" s="14">
        <f t="shared" si="9"/>
        <v>9439.292574325571</v>
      </c>
      <c r="G117" s="14">
        <f t="shared" si="13"/>
        <v>-45243250.924705818</v>
      </c>
    </row>
    <row r="118" spans="2:7" x14ac:dyDescent="0.2">
      <c r="B118" s="13">
        <v>107</v>
      </c>
      <c r="C118" s="14">
        <f t="shared" si="10"/>
        <v>-45243250.924705818</v>
      </c>
      <c r="D118" s="14">
        <f t="shared" si="11"/>
        <v>3176466.857303733</v>
      </c>
      <c r="E118" s="14">
        <f t="shared" si="12"/>
        <v>-3167027.5647294074</v>
      </c>
      <c r="F118" s="14">
        <f t="shared" si="9"/>
        <v>9439.292574325571</v>
      </c>
      <c r="G118" s="14">
        <f t="shared" si="13"/>
        <v>-48419717.782009549</v>
      </c>
    </row>
    <row r="119" spans="2:7" x14ac:dyDescent="0.2">
      <c r="B119" s="13">
        <v>108</v>
      </c>
      <c r="C119" s="14">
        <f t="shared" si="10"/>
        <v>-48419717.782009549</v>
      </c>
      <c r="D119" s="14">
        <f t="shared" si="11"/>
        <v>3398819.5373149943</v>
      </c>
      <c r="E119" s="14">
        <f t="shared" si="12"/>
        <v>-3389380.2447406687</v>
      </c>
      <c r="F119" s="14">
        <f t="shared" si="9"/>
        <v>9439.292574325571</v>
      </c>
      <c r="G119" s="14">
        <f t="shared" si="13"/>
        <v>-51818537.319324546</v>
      </c>
    </row>
    <row r="120" spans="2:7" x14ac:dyDescent="0.2">
      <c r="B120" s="13">
        <v>109</v>
      </c>
      <c r="C120" s="14">
        <f t="shared" si="10"/>
        <v>-51818537.319324546</v>
      </c>
      <c r="D120" s="14">
        <f t="shared" si="11"/>
        <v>3636736.9049270442</v>
      </c>
      <c r="E120" s="14">
        <f t="shared" si="12"/>
        <v>-3627297.6123527186</v>
      </c>
      <c r="F120" s="14">
        <f t="shared" si="9"/>
        <v>9439.292574325571</v>
      </c>
      <c r="G120" s="14">
        <f t="shared" si="13"/>
        <v>-55455274.224251591</v>
      </c>
    </row>
    <row r="121" spans="2:7" x14ac:dyDescent="0.2">
      <c r="B121" s="13">
        <v>110</v>
      </c>
      <c r="C121" s="14">
        <f t="shared" si="10"/>
        <v>-55455274.224251591</v>
      </c>
      <c r="D121" s="14">
        <f t="shared" si="11"/>
        <v>3891308.4882719372</v>
      </c>
      <c r="E121" s="14">
        <f t="shared" si="12"/>
        <v>-3881869.1956976117</v>
      </c>
      <c r="F121" s="14">
        <f t="shared" si="9"/>
        <v>9439.292574325571</v>
      </c>
      <c r="G121" s="14">
        <f t="shared" si="13"/>
        <v>-59346582.712523527</v>
      </c>
    </row>
    <row r="122" spans="2:7" x14ac:dyDescent="0.2">
      <c r="B122" s="13">
        <v>111</v>
      </c>
      <c r="C122" s="14">
        <f t="shared" si="10"/>
        <v>-59346582.712523527</v>
      </c>
      <c r="D122" s="14">
        <f t="shared" si="11"/>
        <v>4163700.0824509729</v>
      </c>
      <c r="E122" s="14">
        <f t="shared" si="12"/>
        <v>-4154260.7898766473</v>
      </c>
      <c r="F122" s="14">
        <f t="shared" si="9"/>
        <v>9439.292574325571</v>
      </c>
      <c r="G122" s="14">
        <f t="shared" si="13"/>
        <v>-63510282.794974498</v>
      </c>
    </row>
    <row r="123" spans="2:7" x14ac:dyDescent="0.2">
      <c r="B123" s="13">
        <v>112</v>
      </c>
      <c r="C123" s="14">
        <f t="shared" si="10"/>
        <v>-63510282.794974498</v>
      </c>
      <c r="D123" s="14">
        <f t="shared" si="11"/>
        <v>4455159.0882225409</v>
      </c>
      <c r="E123" s="14">
        <f t="shared" si="12"/>
        <v>-4445719.7956482153</v>
      </c>
      <c r="F123" s="14">
        <f t="shared" si="9"/>
        <v>9439.292574325571</v>
      </c>
      <c r="G123" s="14">
        <f t="shared" si="13"/>
        <v>-67965441.883197039</v>
      </c>
    </row>
    <row r="124" spans="2:7" x14ac:dyDescent="0.2">
      <c r="B124" s="13">
        <v>113</v>
      </c>
      <c r="C124" s="14">
        <f t="shared" si="10"/>
        <v>-67965441.883197039</v>
      </c>
      <c r="D124" s="14">
        <f t="shared" si="11"/>
        <v>4767020.2243981184</v>
      </c>
      <c r="E124" s="14">
        <f t="shared" si="12"/>
        <v>-4757580.9318237929</v>
      </c>
      <c r="F124" s="14">
        <f t="shared" si="9"/>
        <v>9439.292574325571</v>
      </c>
      <c r="G124" s="14">
        <f t="shared" si="13"/>
        <v>-72732462.107595161</v>
      </c>
    </row>
    <row r="125" spans="2:7" x14ac:dyDescent="0.2">
      <c r="B125" s="13">
        <v>114</v>
      </c>
      <c r="C125" s="14">
        <f t="shared" si="10"/>
        <v>-72732462.107595161</v>
      </c>
      <c r="D125" s="14">
        <f t="shared" si="11"/>
        <v>5100711.640105987</v>
      </c>
      <c r="E125" s="14">
        <f t="shared" si="12"/>
        <v>-5091272.3475316614</v>
      </c>
      <c r="F125" s="14">
        <f t="shared" si="9"/>
        <v>9439.292574325571</v>
      </c>
      <c r="G125" s="14">
        <f t="shared" si="13"/>
        <v>-77833173.747701153</v>
      </c>
    </row>
    <row r="126" spans="2:7" x14ac:dyDescent="0.2">
      <c r="B126" s="13">
        <v>115</v>
      </c>
      <c r="C126" s="14">
        <f t="shared" si="10"/>
        <v>-77833173.747701153</v>
      </c>
      <c r="D126" s="14">
        <f t="shared" si="11"/>
        <v>5457761.4549134066</v>
      </c>
      <c r="E126" s="14">
        <f t="shared" si="12"/>
        <v>-5448322.1623390811</v>
      </c>
      <c r="F126" s="14">
        <f t="shared" si="9"/>
        <v>9439.292574325571</v>
      </c>
      <c r="G126" s="14">
        <f t="shared" si="13"/>
        <v>-83290935.202614561</v>
      </c>
    </row>
    <row r="127" spans="2:7" x14ac:dyDescent="0.2">
      <c r="B127" s="13">
        <v>116</v>
      </c>
      <c r="C127" s="14">
        <f t="shared" si="10"/>
        <v>-83290935.202614561</v>
      </c>
      <c r="D127" s="14">
        <f t="shared" si="11"/>
        <v>5839804.7567573451</v>
      </c>
      <c r="E127" s="14">
        <f t="shared" si="12"/>
        <v>-5830365.4641830195</v>
      </c>
      <c r="F127" s="14">
        <f t="shared" si="9"/>
        <v>9439.292574325571</v>
      </c>
      <c r="G127" s="14">
        <f t="shared" si="13"/>
        <v>-89130739.959371909</v>
      </c>
    </row>
    <row r="128" spans="2:7" x14ac:dyDescent="0.2">
      <c r="B128" s="13">
        <v>117</v>
      </c>
      <c r="C128" s="14">
        <f t="shared" si="10"/>
        <v>-89130739.959371909</v>
      </c>
      <c r="D128" s="14">
        <f t="shared" si="11"/>
        <v>6248591.0897303596</v>
      </c>
      <c r="E128" s="14">
        <f t="shared" si="12"/>
        <v>-6239151.797156034</v>
      </c>
      <c r="F128" s="14">
        <f t="shared" si="9"/>
        <v>9439.292574325571</v>
      </c>
      <c r="G128" s="14">
        <f t="shared" si="13"/>
        <v>-95379331.049102277</v>
      </c>
    </row>
    <row r="129" spans="2:7" x14ac:dyDescent="0.2">
      <c r="B129" s="13">
        <v>118</v>
      </c>
      <c r="C129" s="14">
        <f t="shared" si="10"/>
        <v>-95379331.049102277</v>
      </c>
      <c r="D129" s="14">
        <f t="shared" si="11"/>
        <v>6685992.466011486</v>
      </c>
      <c r="E129" s="14">
        <f t="shared" si="12"/>
        <v>-6676553.1734371604</v>
      </c>
      <c r="F129" s="14">
        <f t="shared" si="9"/>
        <v>9439.292574325571</v>
      </c>
      <c r="G129" s="14">
        <f t="shared" si="13"/>
        <v>-102065323.51511376</v>
      </c>
    </row>
    <row r="130" spans="2:7" x14ac:dyDescent="0.2">
      <c r="B130" s="13">
        <v>119</v>
      </c>
      <c r="C130" s="14">
        <f t="shared" si="10"/>
        <v>-102065323.51511376</v>
      </c>
      <c r="D130" s="14">
        <f t="shared" si="11"/>
        <v>7154011.9386322889</v>
      </c>
      <c r="E130" s="14">
        <f t="shared" si="12"/>
        <v>-7144572.6460579634</v>
      </c>
      <c r="F130" s="14">
        <f t="shared" si="9"/>
        <v>9439.292574325571</v>
      </c>
      <c r="G130" s="14">
        <f t="shared" si="13"/>
        <v>-109219335.45374605</v>
      </c>
    </row>
    <row r="131" spans="2:7" x14ac:dyDescent="0.2">
      <c r="B131" s="13">
        <v>120</v>
      </c>
      <c r="C131" s="14">
        <f t="shared" si="10"/>
        <v>-109219335.45374605</v>
      </c>
      <c r="D131" s="14">
        <f t="shared" si="11"/>
        <v>7654792.7743365495</v>
      </c>
      <c r="E131" s="14">
        <f t="shared" si="12"/>
        <v>-7645353.4817622239</v>
      </c>
      <c r="F131" s="14">
        <f t="shared" si="9"/>
        <v>9439.292574325571</v>
      </c>
      <c r="G131" s="14">
        <f t="shared" si="13"/>
        <v>-116874128.2280826</v>
      </c>
    </row>
  </sheetData>
  <customSheetViews>
    <customSheetView guid="{ED2E9B5D-B1ED-CD49-ABAA-552305DDFF96}" scale="110">
      <selection activeCell="G12" sqref="G12"/>
      <pageMargins left="0.7" right="0.7" top="0.75" bottom="0.75" header="0.3" footer="0.3"/>
    </customSheetView>
  </customSheetViews>
  <mergeCells count="2">
    <mergeCell ref="B10:G10"/>
    <mergeCell ref="B6:C6"/>
  </mergeCells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65CC3-D590-034D-B8C3-A94A83AF3751}">
  <sheetPr codeName="Sheet4"/>
  <dimension ref="B1:H311"/>
  <sheetViews>
    <sheetView zoomScale="108" zoomScaleNormal="120" workbookViewId="0">
      <selection activeCell="G18" sqref="G18"/>
    </sheetView>
  </sheetViews>
  <sheetFormatPr baseColWidth="10" defaultRowHeight="18" x14ac:dyDescent="0.2"/>
  <cols>
    <col min="1" max="1" width="10.83203125" style="1"/>
    <col min="2" max="2" width="23.6640625" style="16" bestFit="1" customWidth="1"/>
    <col min="3" max="7" width="15.83203125" style="1" customWidth="1"/>
    <col min="8" max="16384" width="10.83203125" style="1"/>
  </cols>
  <sheetData>
    <row r="1" spans="2:8" ht="19" thickBot="1" x14ac:dyDescent="0.25">
      <c r="B1" s="1"/>
    </row>
    <row r="2" spans="2:8" ht="19" thickBot="1" x14ac:dyDescent="0.25">
      <c r="B2" s="9" t="s">
        <v>1</v>
      </c>
      <c r="C2" s="8">
        <f>'EMI Calculator'!H7</f>
        <v>100000</v>
      </c>
    </row>
    <row r="3" spans="2:8" ht="19" thickBot="1" x14ac:dyDescent="0.25">
      <c r="B3" s="9" t="s">
        <v>6</v>
      </c>
      <c r="C3" s="9">
        <f>'EMI Calculator'!H9</f>
        <v>20</v>
      </c>
    </row>
    <row r="4" spans="2:8" ht="20" thickBot="1" x14ac:dyDescent="0.25">
      <c r="B4" s="11" t="s">
        <v>14</v>
      </c>
      <c r="C4" s="10">
        <f>'EMI Calculator'!H11</f>
        <v>7</v>
      </c>
    </row>
    <row r="5" spans="2:8" ht="19" thickBot="1" x14ac:dyDescent="0.25">
      <c r="B5" s="1"/>
    </row>
    <row r="6" spans="2:8" ht="19" thickBot="1" x14ac:dyDescent="0.25">
      <c r="B6" s="62" t="s">
        <v>3</v>
      </c>
      <c r="C6" s="63"/>
    </row>
    <row r="7" spans="2:8" ht="19" thickBot="1" x14ac:dyDescent="0.25">
      <c r="B7" s="2" t="s">
        <v>4</v>
      </c>
      <c r="C7" s="12">
        <f>'EMI Calculator'!H16</f>
        <v>9439.292574325571</v>
      </c>
      <c r="D7" s="15">
        <f>'EMI Calculator'!D17</f>
        <v>1</v>
      </c>
    </row>
    <row r="8" spans="2:8" ht="19" thickBot="1" x14ac:dyDescent="0.25">
      <c r="B8" s="3" t="s">
        <v>5</v>
      </c>
      <c r="C8" s="4" t="str">
        <f>'EMI Calculator'!H18</f>
        <v/>
      </c>
    </row>
    <row r="9" spans="2:8" x14ac:dyDescent="0.2">
      <c r="B9" s="1"/>
    </row>
    <row r="10" spans="2:8" customFormat="1" x14ac:dyDescent="0.2">
      <c r="B10" s="64" t="s">
        <v>13</v>
      </c>
      <c r="C10" s="64"/>
      <c r="D10" s="64"/>
      <c r="E10" s="64"/>
      <c r="F10" s="64"/>
      <c r="G10" s="64"/>
    </row>
    <row r="11" spans="2:8" customFormat="1" ht="38" x14ac:dyDescent="0.2">
      <c r="B11" s="17" t="s">
        <v>8</v>
      </c>
      <c r="C11" s="18" t="s">
        <v>9</v>
      </c>
      <c r="D11" s="18" t="s">
        <v>10</v>
      </c>
      <c r="E11" s="17" t="s">
        <v>11</v>
      </c>
      <c r="F11" s="17" t="s">
        <v>3</v>
      </c>
      <c r="G11" s="18" t="s">
        <v>12</v>
      </c>
    </row>
    <row r="12" spans="2:8" x14ac:dyDescent="0.2">
      <c r="B12" s="19">
        <v>1</v>
      </c>
      <c r="C12" s="20">
        <f>C2</f>
        <v>100000</v>
      </c>
      <c r="D12" s="20">
        <f>F12-E12</f>
        <v>2439.2925743255701</v>
      </c>
      <c r="E12" s="21">
        <f>IF($D$7=1,C12*$C$4%,C12*$C$4%/12)</f>
        <v>7000.0000000000009</v>
      </c>
      <c r="F12" s="21">
        <f>IF($D$7=1,$C$7,$C$8)</f>
        <v>9439.292574325571</v>
      </c>
      <c r="G12" s="21">
        <f>C12-D12</f>
        <v>97560.707425674424</v>
      </c>
      <c r="H12"/>
    </row>
    <row r="13" spans="2:8" x14ac:dyDescent="0.2">
      <c r="B13" s="19">
        <v>2</v>
      </c>
      <c r="C13" s="20">
        <f>G12</f>
        <v>97560.707425674424</v>
      </c>
      <c r="D13" s="20">
        <f>F13-E13</f>
        <v>2610.0430545283607</v>
      </c>
      <c r="E13" s="21">
        <f>IF($D$7=1,C13*$C$4%,C13*$C$4%/12)</f>
        <v>6829.2495197972103</v>
      </c>
      <c r="F13" s="21">
        <f>IF($D$7=1,$C$7,$C$8)</f>
        <v>9439.292574325571</v>
      </c>
      <c r="G13" s="21">
        <f>C13-D13</f>
        <v>94950.664371146064</v>
      </c>
      <c r="H13"/>
    </row>
    <row r="14" spans="2:8" x14ac:dyDescent="0.2">
      <c r="B14" s="19">
        <v>3</v>
      </c>
      <c r="C14" s="20">
        <f t="shared" ref="C14:C31" si="0">G13</f>
        <v>94950.664371146064</v>
      </c>
      <c r="D14" s="20">
        <f t="shared" ref="D14:D31" si="1">F14-E14</f>
        <v>2792.7460683453455</v>
      </c>
      <c r="E14" s="21">
        <f t="shared" ref="E14:E31" si="2">IF($D$7=1,C14*$C$4%,C14*$C$4%/12)</f>
        <v>6646.5465059802254</v>
      </c>
      <c r="F14" s="21">
        <f t="shared" ref="F14:F31" si="3">IF($D$7=1,$C$7,$C$8)</f>
        <v>9439.292574325571</v>
      </c>
      <c r="G14" s="21">
        <f t="shared" ref="G14:G31" si="4">C14-D14</f>
        <v>92157.918302800725</v>
      </c>
      <c r="H14"/>
    </row>
    <row r="15" spans="2:8" x14ac:dyDescent="0.2">
      <c r="B15" s="19">
        <v>4</v>
      </c>
      <c r="C15" s="20">
        <f t="shared" si="0"/>
        <v>92157.918302800725</v>
      </c>
      <c r="D15" s="20">
        <f t="shared" si="1"/>
        <v>2988.2382931295197</v>
      </c>
      <c r="E15" s="21">
        <f t="shared" si="2"/>
        <v>6451.0542811960513</v>
      </c>
      <c r="F15" s="21">
        <f t="shared" si="3"/>
        <v>9439.292574325571</v>
      </c>
      <c r="G15" s="21">
        <f t="shared" si="4"/>
        <v>89169.68000967121</v>
      </c>
      <c r="H15"/>
    </row>
    <row r="16" spans="2:8" x14ac:dyDescent="0.2">
      <c r="B16" s="19">
        <v>5</v>
      </c>
      <c r="C16" s="20">
        <f t="shared" si="0"/>
        <v>89169.68000967121</v>
      </c>
      <c r="D16" s="20">
        <f t="shared" si="1"/>
        <v>3197.4149736485861</v>
      </c>
      <c r="E16" s="21">
        <f t="shared" si="2"/>
        <v>6241.8776006769849</v>
      </c>
      <c r="F16" s="21">
        <f t="shared" si="3"/>
        <v>9439.292574325571</v>
      </c>
      <c r="G16" s="21">
        <f t="shared" si="4"/>
        <v>85972.265036022625</v>
      </c>
      <c r="H16"/>
    </row>
    <row r="17" spans="2:8" x14ac:dyDescent="0.2">
      <c r="B17" s="19">
        <v>6</v>
      </c>
      <c r="C17" s="20">
        <f t="shared" si="0"/>
        <v>85972.265036022625</v>
      </c>
      <c r="D17" s="20">
        <f t="shared" si="1"/>
        <v>3421.2340218039863</v>
      </c>
      <c r="E17" s="21">
        <f t="shared" si="2"/>
        <v>6018.0585525215847</v>
      </c>
      <c r="F17" s="21">
        <f t="shared" si="3"/>
        <v>9439.292574325571</v>
      </c>
      <c r="G17" s="21">
        <f t="shared" si="4"/>
        <v>82551.031014218635</v>
      </c>
      <c r="H17"/>
    </row>
    <row r="18" spans="2:8" x14ac:dyDescent="0.2">
      <c r="B18" s="19">
        <v>7</v>
      </c>
      <c r="C18" s="20">
        <f t="shared" si="0"/>
        <v>82551.031014218635</v>
      </c>
      <c r="D18" s="20">
        <f t="shared" si="1"/>
        <v>3660.720403330266</v>
      </c>
      <c r="E18" s="21">
        <f t="shared" si="2"/>
        <v>5778.572170995305</v>
      </c>
      <c r="F18" s="21">
        <f t="shared" si="3"/>
        <v>9439.292574325571</v>
      </c>
      <c r="G18" s="21">
        <f t="shared" si="4"/>
        <v>78890.310610888366</v>
      </c>
      <c r="H18"/>
    </row>
    <row r="19" spans="2:8" x14ac:dyDescent="0.2">
      <c r="B19" s="19">
        <v>8</v>
      </c>
      <c r="C19" s="20">
        <f t="shared" si="0"/>
        <v>78890.310610888366</v>
      </c>
      <c r="D19" s="20">
        <f t="shared" si="1"/>
        <v>3916.9708315633852</v>
      </c>
      <c r="E19" s="21">
        <f t="shared" si="2"/>
        <v>5522.3217427621857</v>
      </c>
      <c r="F19" s="21">
        <f t="shared" si="3"/>
        <v>9439.292574325571</v>
      </c>
      <c r="G19" s="21">
        <f t="shared" si="4"/>
        <v>74973.339779324975</v>
      </c>
      <c r="H19"/>
    </row>
    <row r="20" spans="2:8" x14ac:dyDescent="0.2">
      <c r="B20" s="19">
        <v>9</v>
      </c>
      <c r="C20" s="20">
        <f t="shared" si="0"/>
        <v>74973.339779324975</v>
      </c>
      <c r="D20" s="20">
        <f t="shared" si="1"/>
        <v>4191.1587897728223</v>
      </c>
      <c r="E20" s="21">
        <f t="shared" si="2"/>
        <v>5248.1337845527487</v>
      </c>
      <c r="F20" s="21">
        <f t="shared" si="3"/>
        <v>9439.292574325571</v>
      </c>
      <c r="G20" s="21">
        <f t="shared" si="4"/>
        <v>70782.180989552158</v>
      </c>
      <c r="H20"/>
    </row>
    <row r="21" spans="2:8" x14ac:dyDescent="0.2">
      <c r="B21" s="19">
        <v>10</v>
      </c>
      <c r="C21" s="20">
        <f t="shared" si="0"/>
        <v>70782.180989552158</v>
      </c>
      <c r="D21" s="20">
        <f t="shared" si="1"/>
        <v>4484.5399050569195</v>
      </c>
      <c r="E21" s="21">
        <f t="shared" si="2"/>
        <v>4954.7526692686515</v>
      </c>
      <c r="F21" s="21">
        <f t="shared" si="3"/>
        <v>9439.292574325571</v>
      </c>
      <c r="G21" s="21">
        <f t="shared" si="4"/>
        <v>66297.641084495233</v>
      </c>
      <c r="H21"/>
    </row>
    <row r="22" spans="2:8" x14ac:dyDescent="0.2">
      <c r="B22" s="19">
        <v>11</v>
      </c>
      <c r="C22" s="20">
        <f t="shared" si="0"/>
        <v>66297.641084495233</v>
      </c>
      <c r="D22" s="20">
        <f t="shared" si="1"/>
        <v>4798.4576984109044</v>
      </c>
      <c r="E22" s="21">
        <f t="shared" si="2"/>
        <v>4640.8348759146666</v>
      </c>
      <c r="F22" s="21">
        <f t="shared" si="3"/>
        <v>9439.292574325571</v>
      </c>
      <c r="G22" s="21">
        <f t="shared" si="4"/>
        <v>61499.183386084333</v>
      </c>
      <c r="H22"/>
    </row>
    <row r="23" spans="2:8" x14ac:dyDescent="0.2">
      <c r="B23" s="19">
        <v>12</v>
      </c>
      <c r="C23" s="20">
        <f t="shared" si="0"/>
        <v>61499.183386084333</v>
      </c>
      <c r="D23" s="20">
        <f t="shared" si="1"/>
        <v>5134.3497372996671</v>
      </c>
      <c r="E23" s="21">
        <f t="shared" si="2"/>
        <v>4304.9428370259038</v>
      </c>
      <c r="F23" s="21">
        <f t="shared" si="3"/>
        <v>9439.292574325571</v>
      </c>
      <c r="G23" s="21">
        <f t="shared" si="4"/>
        <v>56364.833648784668</v>
      </c>
      <c r="H23"/>
    </row>
    <row r="24" spans="2:8" x14ac:dyDescent="0.2">
      <c r="B24" s="19">
        <v>13</v>
      </c>
      <c r="C24" s="20">
        <f t="shared" si="0"/>
        <v>56364.833648784668</v>
      </c>
      <c r="D24" s="20">
        <f t="shared" si="1"/>
        <v>5493.7542189106443</v>
      </c>
      <c r="E24" s="21">
        <f t="shared" si="2"/>
        <v>3945.5383554149271</v>
      </c>
      <c r="F24" s="21">
        <f t="shared" si="3"/>
        <v>9439.292574325571</v>
      </c>
      <c r="G24" s="21">
        <f t="shared" si="4"/>
        <v>50871.079429874022</v>
      </c>
      <c r="H24"/>
    </row>
    <row r="25" spans="2:8" x14ac:dyDescent="0.2">
      <c r="B25" s="19">
        <v>14</v>
      </c>
      <c r="C25" s="20">
        <f t="shared" si="0"/>
        <v>50871.079429874022</v>
      </c>
      <c r="D25" s="20">
        <f t="shared" si="1"/>
        <v>5878.3170142343897</v>
      </c>
      <c r="E25" s="21">
        <f t="shared" si="2"/>
        <v>3560.9755600911817</v>
      </c>
      <c r="F25" s="21">
        <f t="shared" si="3"/>
        <v>9439.292574325571</v>
      </c>
      <c r="G25" s="21">
        <f t="shared" si="4"/>
        <v>44992.762415639634</v>
      </c>
      <c r="H25"/>
    </row>
    <row r="26" spans="2:8" x14ac:dyDescent="0.2">
      <c r="B26" s="19">
        <v>15</v>
      </c>
      <c r="C26" s="20">
        <f t="shared" si="0"/>
        <v>44992.762415639634</v>
      </c>
      <c r="D26" s="20">
        <f t="shared" si="1"/>
        <v>6289.7992052307964</v>
      </c>
      <c r="E26" s="21">
        <f t="shared" si="2"/>
        <v>3149.4933690947746</v>
      </c>
      <c r="F26" s="21">
        <f t="shared" si="3"/>
        <v>9439.292574325571</v>
      </c>
      <c r="G26" s="21">
        <f t="shared" si="4"/>
        <v>38702.963210408838</v>
      </c>
      <c r="H26"/>
    </row>
    <row r="27" spans="2:8" x14ac:dyDescent="0.2">
      <c r="B27" s="19">
        <v>16</v>
      </c>
      <c r="C27" s="20">
        <f t="shared" si="0"/>
        <v>38702.963210408838</v>
      </c>
      <c r="D27" s="20">
        <f t="shared" si="1"/>
        <v>6730.0851495969519</v>
      </c>
      <c r="E27" s="21">
        <f t="shared" si="2"/>
        <v>2709.2074247286191</v>
      </c>
      <c r="F27" s="21">
        <f t="shared" si="3"/>
        <v>9439.292574325571</v>
      </c>
      <c r="G27" s="21">
        <f t="shared" si="4"/>
        <v>31972.878060811887</v>
      </c>
      <c r="H27"/>
    </row>
    <row r="28" spans="2:8" x14ac:dyDescent="0.2">
      <c r="B28" s="19">
        <v>17</v>
      </c>
      <c r="C28" s="20">
        <f t="shared" si="0"/>
        <v>31972.878060811887</v>
      </c>
      <c r="D28" s="20">
        <f t="shared" si="1"/>
        <v>7201.1911100687385</v>
      </c>
      <c r="E28" s="21">
        <f t="shared" si="2"/>
        <v>2238.1014642568325</v>
      </c>
      <c r="F28" s="21">
        <f t="shared" si="3"/>
        <v>9439.292574325571</v>
      </c>
      <c r="G28" s="21">
        <f t="shared" si="4"/>
        <v>24771.686950743147</v>
      </c>
      <c r="H28"/>
    </row>
    <row r="29" spans="2:8" x14ac:dyDescent="0.2">
      <c r="B29" s="19">
        <v>18</v>
      </c>
      <c r="C29" s="20">
        <f t="shared" si="0"/>
        <v>24771.686950743147</v>
      </c>
      <c r="D29" s="20">
        <f t="shared" si="1"/>
        <v>7705.2744877735504</v>
      </c>
      <c r="E29" s="21">
        <f t="shared" si="2"/>
        <v>1734.0180865520206</v>
      </c>
      <c r="F29" s="21">
        <f t="shared" si="3"/>
        <v>9439.292574325571</v>
      </c>
      <c r="G29" s="21">
        <f t="shared" si="4"/>
        <v>17066.412462969598</v>
      </c>
      <c r="H29"/>
    </row>
    <row r="30" spans="2:8" x14ac:dyDescent="0.2">
      <c r="B30" s="19">
        <v>19</v>
      </c>
      <c r="C30" s="20">
        <f t="shared" si="0"/>
        <v>17066.412462969598</v>
      </c>
      <c r="D30" s="20">
        <f t="shared" si="1"/>
        <v>8244.6437019176992</v>
      </c>
      <c r="E30" s="21">
        <f t="shared" si="2"/>
        <v>1194.648872407872</v>
      </c>
      <c r="F30" s="21">
        <f t="shared" si="3"/>
        <v>9439.292574325571</v>
      </c>
      <c r="G30" s="21">
        <f t="shared" si="4"/>
        <v>8821.7687610518988</v>
      </c>
      <c r="H30"/>
    </row>
    <row r="31" spans="2:8" x14ac:dyDescent="0.2">
      <c r="B31" s="19">
        <v>20</v>
      </c>
      <c r="C31" s="20">
        <f t="shared" si="0"/>
        <v>8821.7687610518988</v>
      </c>
      <c r="D31" s="20">
        <f t="shared" si="1"/>
        <v>8821.7687610519388</v>
      </c>
      <c r="E31" s="21">
        <f t="shared" si="2"/>
        <v>617.52381327363298</v>
      </c>
      <c r="F31" s="21">
        <f t="shared" si="3"/>
        <v>9439.292574325571</v>
      </c>
      <c r="G31" s="21">
        <f t="shared" si="4"/>
        <v>-4.0017766878008842E-11</v>
      </c>
      <c r="H31"/>
    </row>
    <row r="32" spans="2:8" x14ac:dyDescent="0.2">
      <c r="B32" s="65"/>
      <c r="C32" s="66"/>
      <c r="D32" s="66"/>
      <c r="E32" s="67"/>
      <c r="F32" s="67"/>
      <c r="G32" s="67"/>
      <c r="H32"/>
    </row>
    <row r="33" spans="2:8" x14ac:dyDescent="0.2">
      <c r="B33" s="65"/>
      <c r="C33" s="66"/>
      <c r="D33" s="66"/>
      <c r="E33" s="67"/>
      <c r="F33" s="67"/>
      <c r="G33" s="67"/>
      <c r="H33"/>
    </row>
    <row r="34" spans="2:8" x14ac:dyDescent="0.2">
      <c r="B34" s="65"/>
      <c r="C34" s="66"/>
      <c r="D34" s="66"/>
      <c r="E34" s="67"/>
      <c r="F34" s="67"/>
      <c r="G34" s="67"/>
      <c r="H34"/>
    </row>
    <row r="35" spans="2:8" x14ac:dyDescent="0.2">
      <c r="B35" s="65"/>
      <c r="C35" s="66"/>
      <c r="D35" s="66"/>
      <c r="E35" s="67"/>
      <c r="F35" s="67"/>
      <c r="G35" s="67"/>
      <c r="H35"/>
    </row>
    <row r="36" spans="2:8" x14ac:dyDescent="0.2">
      <c r="B36" s="65"/>
      <c r="C36" s="66"/>
      <c r="D36" s="66"/>
      <c r="E36" s="67"/>
      <c r="F36" s="67"/>
      <c r="G36" s="67"/>
      <c r="H36"/>
    </row>
    <row r="37" spans="2:8" x14ac:dyDescent="0.2">
      <c r="B37" s="65"/>
      <c r="C37" s="66"/>
      <c r="D37" s="66"/>
      <c r="E37" s="67"/>
      <c r="F37" s="67"/>
      <c r="G37" s="67"/>
      <c r="H37"/>
    </row>
    <row r="38" spans="2:8" x14ac:dyDescent="0.2">
      <c r="B38" s="65"/>
      <c r="C38" s="66"/>
      <c r="D38" s="66"/>
      <c r="E38" s="67"/>
      <c r="F38" s="67"/>
      <c r="G38" s="67"/>
      <c r="H38"/>
    </row>
    <row r="39" spans="2:8" x14ac:dyDescent="0.2">
      <c r="B39" s="65"/>
      <c r="C39" s="66"/>
      <c r="D39" s="66"/>
      <c r="E39" s="67"/>
      <c r="F39" s="67"/>
      <c r="G39" s="67"/>
      <c r="H39"/>
    </row>
    <row r="40" spans="2:8" x14ac:dyDescent="0.2">
      <c r="B40" s="65"/>
      <c r="C40" s="66"/>
      <c r="D40" s="66"/>
      <c r="E40" s="67"/>
      <c r="F40" s="67"/>
      <c r="G40" s="67"/>
      <c r="H40"/>
    </row>
    <row r="41" spans="2:8" x14ac:dyDescent="0.2">
      <c r="B41" s="65"/>
      <c r="C41" s="66"/>
      <c r="D41" s="66"/>
      <c r="E41" s="67"/>
      <c r="F41" s="67"/>
      <c r="G41" s="67"/>
      <c r="H41"/>
    </row>
    <row r="42" spans="2:8" x14ac:dyDescent="0.2">
      <c r="B42" s="65"/>
      <c r="C42" s="66"/>
      <c r="D42" s="66"/>
      <c r="E42" s="67"/>
      <c r="F42" s="67"/>
      <c r="G42" s="67"/>
      <c r="H42"/>
    </row>
    <row r="43" spans="2:8" x14ac:dyDescent="0.2">
      <c r="B43" s="65"/>
      <c r="C43" s="66"/>
      <c r="D43" s="66"/>
      <c r="E43" s="67"/>
      <c r="F43" s="67"/>
      <c r="G43" s="67"/>
      <c r="H43"/>
    </row>
    <row r="44" spans="2:8" x14ac:dyDescent="0.2">
      <c r="B44" s="65"/>
      <c r="C44" s="66"/>
      <c r="D44" s="66"/>
      <c r="E44" s="67"/>
      <c r="F44" s="67"/>
      <c r="G44" s="67"/>
      <c r="H44"/>
    </row>
    <row r="45" spans="2:8" x14ac:dyDescent="0.2">
      <c r="B45" s="65"/>
      <c r="C45" s="66"/>
      <c r="D45" s="66"/>
      <c r="E45" s="67"/>
      <c r="F45" s="67"/>
      <c r="G45" s="67"/>
      <c r="H45"/>
    </row>
    <row r="46" spans="2:8" x14ac:dyDescent="0.2">
      <c r="B46" s="65"/>
      <c r="C46" s="66"/>
      <c r="D46" s="66"/>
      <c r="E46" s="67"/>
      <c r="F46" s="67"/>
      <c r="G46" s="67"/>
      <c r="H46"/>
    </row>
    <row r="47" spans="2:8" x14ac:dyDescent="0.2">
      <c r="B47" s="65"/>
      <c r="C47" s="66"/>
      <c r="D47" s="66"/>
      <c r="E47" s="67"/>
      <c r="F47" s="67"/>
      <c r="G47" s="67"/>
      <c r="H47"/>
    </row>
    <row r="48" spans="2:8" x14ac:dyDescent="0.2">
      <c r="B48" s="65"/>
      <c r="C48" s="66"/>
      <c r="D48" s="66"/>
      <c r="E48" s="67"/>
      <c r="F48" s="67"/>
      <c r="G48" s="67"/>
      <c r="H48"/>
    </row>
    <row r="49" spans="2:8" x14ac:dyDescent="0.2">
      <c r="B49" s="65"/>
      <c r="C49" s="66"/>
      <c r="D49" s="66"/>
      <c r="E49" s="67"/>
      <c r="F49" s="67"/>
      <c r="G49" s="67"/>
      <c r="H49"/>
    </row>
    <row r="50" spans="2:8" x14ac:dyDescent="0.2">
      <c r="B50" s="65"/>
      <c r="C50" s="66"/>
      <c r="D50" s="66"/>
      <c r="E50" s="67"/>
      <c r="F50" s="67"/>
      <c r="G50" s="67"/>
      <c r="H50"/>
    </row>
    <row r="51" spans="2:8" x14ac:dyDescent="0.2">
      <c r="B51" s="65"/>
      <c r="C51" s="66"/>
      <c r="D51" s="66"/>
      <c r="E51" s="67"/>
      <c r="F51" s="67"/>
      <c r="G51" s="67"/>
      <c r="H51"/>
    </row>
    <row r="52" spans="2:8" x14ac:dyDescent="0.2">
      <c r="B52" s="65"/>
      <c r="C52" s="66"/>
      <c r="D52" s="66"/>
      <c r="E52" s="67"/>
      <c r="F52" s="67"/>
      <c r="G52" s="67"/>
      <c r="H52"/>
    </row>
    <row r="53" spans="2:8" x14ac:dyDescent="0.2">
      <c r="B53" s="65"/>
      <c r="C53" s="66"/>
      <c r="D53" s="66"/>
      <c r="E53" s="67"/>
      <c r="F53" s="67"/>
      <c r="G53" s="67"/>
      <c r="H53"/>
    </row>
    <row r="54" spans="2:8" x14ac:dyDescent="0.2">
      <c r="B54" s="65"/>
      <c r="C54" s="66"/>
      <c r="D54" s="66"/>
      <c r="E54" s="67"/>
      <c r="F54" s="67"/>
      <c r="G54" s="67"/>
      <c r="H54"/>
    </row>
    <row r="55" spans="2:8" x14ac:dyDescent="0.2">
      <c r="B55" s="65"/>
      <c r="C55" s="66"/>
      <c r="D55" s="66"/>
      <c r="E55" s="67"/>
      <c r="F55" s="67"/>
      <c r="G55" s="67"/>
      <c r="H55"/>
    </row>
    <row r="56" spans="2:8" x14ac:dyDescent="0.2">
      <c r="B56" s="65"/>
      <c r="C56" s="66"/>
      <c r="D56" s="66"/>
      <c r="E56" s="67"/>
      <c r="F56" s="67"/>
      <c r="G56" s="67"/>
      <c r="H56"/>
    </row>
    <row r="57" spans="2:8" x14ac:dyDescent="0.2">
      <c r="B57" s="65"/>
      <c r="C57" s="66"/>
      <c r="D57" s="66"/>
      <c r="E57" s="67"/>
      <c r="F57" s="67"/>
      <c r="G57" s="67"/>
      <c r="H57"/>
    </row>
    <row r="58" spans="2:8" x14ac:dyDescent="0.2">
      <c r="B58" s="65"/>
      <c r="C58" s="66"/>
      <c r="D58" s="66"/>
      <c r="E58" s="67"/>
      <c r="F58" s="67"/>
      <c r="G58" s="67"/>
      <c r="H58"/>
    </row>
    <row r="59" spans="2:8" x14ac:dyDescent="0.2">
      <c r="B59" s="65"/>
      <c r="C59" s="66"/>
      <c r="D59" s="66"/>
      <c r="E59" s="67"/>
      <c r="F59" s="67"/>
      <c r="G59" s="67"/>
      <c r="H59"/>
    </row>
    <row r="60" spans="2:8" x14ac:dyDescent="0.2">
      <c r="B60" s="65"/>
      <c r="C60" s="66"/>
      <c r="D60" s="66"/>
      <c r="E60" s="67"/>
      <c r="F60" s="67"/>
      <c r="G60" s="67"/>
      <c r="H60"/>
    </row>
    <row r="61" spans="2:8" x14ac:dyDescent="0.2">
      <c r="B61" s="65"/>
      <c r="C61" s="66"/>
      <c r="D61" s="66"/>
      <c r="E61" s="67"/>
      <c r="F61" s="67"/>
      <c r="G61" s="67"/>
      <c r="H61"/>
    </row>
    <row r="62" spans="2:8" x14ac:dyDescent="0.2">
      <c r="B62" s="65"/>
      <c r="C62" s="66"/>
      <c r="D62" s="66"/>
      <c r="E62" s="67"/>
      <c r="F62" s="67"/>
      <c r="G62" s="67"/>
      <c r="H62"/>
    </row>
    <row r="63" spans="2:8" x14ac:dyDescent="0.2">
      <c r="B63" s="65"/>
      <c r="C63" s="66"/>
      <c r="D63" s="66"/>
      <c r="E63" s="67"/>
      <c r="F63" s="67"/>
      <c r="G63" s="67"/>
      <c r="H63"/>
    </row>
    <row r="64" spans="2:8" x14ac:dyDescent="0.2">
      <c r="B64" s="65"/>
      <c r="C64" s="66"/>
      <c r="D64" s="66"/>
      <c r="E64" s="67"/>
      <c r="F64" s="67"/>
      <c r="G64" s="67"/>
      <c r="H64"/>
    </row>
    <row r="65" spans="2:8" x14ac:dyDescent="0.2">
      <c r="B65" s="65"/>
      <c r="C65" s="66"/>
      <c r="D65" s="66"/>
      <c r="E65" s="67"/>
      <c r="F65" s="67"/>
      <c r="G65" s="67"/>
      <c r="H65"/>
    </row>
    <row r="66" spans="2:8" x14ac:dyDescent="0.2">
      <c r="B66" s="65"/>
      <c r="C66" s="66"/>
      <c r="D66" s="66"/>
      <c r="E66" s="67"/>
      <c r="F66" s="67"/>
      <c r="G66" s="67"/>
      <c r="H66"/>
    </row>
    <row r="67" spans="2:8" x14ac:dyDescent="0.2">
      <c r="B67" s="65"/>
      <c r="C67" s="66"/>
      <c r="D67" s="66"/>
      <c r="E67" s="67"/>
      <c r="F67" s="67"/>
      <c r="G67" s="67"/>
      <c r="H67"/>
    </row>
    <row r="68" spans="2:8" x14ac:dyDescent="0.2">
      <c r="B68" s="65"/>
      <c r="C68" s="66"/>
      <c r="D68" s="66"/>
      <c r="E68" s="67"/>
      <c r="F68" s="67"/>
      <c r="G68" s="67"/>
      <c r="H68"/>
    </row>
    <row r="69" spans="2:8" x14ac:dyDescent="0.2">
      <c r="B69" s="65"/>
      <c r="C69" s="66"/>
      <c r="D69" s="66"/>
      <c r="E69" s="67"/>
      <c r="F69" s="67"/>
      <c r="G69" s="67"/>
      <c r="H69"/>
    </row>
    <row r="70" spans="2:8" x14ac:dyDescent="0.2">
      <c r="B70" s="65"/>
      <c r="C70" s="66"/>
      <c r="D70" s="66"/>
      <c r="E70" s="67"/>
      <c r="F70" s="67"/>
      <c r="G70" s="67"/>
      <c r="H70"/>
    </row>
    <row r="71" spans="2:8" x14ac:dyDescent="0.2">
      <c r="B71" s="65"/>
      <c r="C71" s="66"/>
      <c r="D71" s="66"/>
      <c r="E71" s="67"/>
      <c r="F71" s="67"/>
      <c r="G71" s="67"/>
      <c r="H71"/>
    </row>
    <row r="72" spans="2:8" x14ac:dyDescent="0.2">
      <c r="B72" s="65"/>
      <c r="C72" s="66"/>
      <c r="D72" s="66"/>
      <c r="E72" s="67"/>
      <c r="F72" s="67"/>
      <c r="G72" s="67"/>
      <c r="H72"/>
    </row>
    <row r="73" spans="2:8" x14ac:dyDescent="0.2">
      <c r="B73" s="65"/>
      <c r="C73" s="66"/>
      <c r="D73" s="66"/>
      <c r="E73" s="67"/>
      <c r="F73" s="67"/>
      <c r="G73" s="67"/>
      <c r="H73"/>
    </row>
    <row r="74" spans="2:8" x14ac:dyDescent="0.2">
      <c r="B74" s="65"/>
      <c r="C74" s="66"/>
      <c r="D74" s="66"/>
      <c r="E74" s="67"/>
      <c r="F74" s="67"/>
      <c r="G74" s="67"/>
      <c r="H74"/>
    </row>
    <row r="75" spans="2:8" x14ac:dyDescent="0.2">
      <c r="B75" s="65"/>
      <c r="C75" s="66"/>
      <c r="D75" s="66"/>
      <c r="E75" s="67"/>
      <c r="F75" s="67"/>
      <c r="G75" s="67"/>
      <c r="H75"/>
    </row>
    <row r="76" spans="2:8" x14ac:dyDescent="0.2">
      <c r="B76" s="65"/>
      <c r="C76" s="66"/>
      <c r="D76" s="66"/>
      <c r="E76" s="67"/>
      <c r="F76" s="67"/>
      <c r="G76" s="67"/>
      <c r="H76"/>
    </row>
    <row r="77" spans="2:8" x14ac:dyDescent="0.2">
      <c r="B77" s="65"/>
      <c r="C77" s="66"/>
      <c r="D77" s="66"/>
      <c r="E77" s="67"/>
      <c r="F77" s="67"/>
      <c r="G77" s="67"/>
      <c r="H77"/>
    </row>
    <row r="78" spans="2:8" x14ac:dyDescent="0.2">
      <c r="B78" s="65"/>
      <c r="C78" s="66"/>
      <c r="D78" s="66"/>
      <c r="E78" s="67"/>
      <c r="F78" s="67"/>
      <c r="G78" s="67"/>
      <c r="H78"/>
    </row>
    <row r="79" spans="2:8" x14ac:dyDescent="0.2">
      <c r="B79" s="65"/>
      <c r="C79" s="66"/>
      <c r="D79" s="66"/>
      <c r="E79" s="67"/>
      <c r="F79" s="67"/>
      <c r="G79" s="67"/>
      <c r="H79"/>
    </row>
    <row r="80" spans="2:8" x14ac:dyDescent="0.2">
      <c r="B80" s="65"/>
      <c r="C80" s="66"/>
      <c r="D80" s="66"/>
      <c r="E80" s="67"/>
      <c r="F80" s="67"/>
      <c r="G80" s="67"/>
      <c r="H80"/>
    </row>
    <row r="81" spans="2:8" x14ac:dyDescent="0.2">
      <c r="B81" s="65"/>
      <c r="C81" s="66"/>
      <c r="D81" s="66"/>
      <c r="E81" s="67"/>
      <c r="F81" s="67"/>
      <c r="G81" s="67"/>
      <c r="H81"/>
    </row>
    <row r="82" spans="2:8" x14ac:dyDescent="0.2">
      <c r="B82" s="65"/>
      <c r="C82" s="66"/>
      <c r="D82" s="66"/>
      <c r="E82" s="67"/>
      <c r="F82" s="67"/>
      <c r="G82" s="67"/>
      <c r="H82"/>
    </row>
    <row r="83" spans="2:8" x14ac:dyDescent="0.2">
      <c r="B83" s="65"/>
      <c r="C83" s="66"/>
      <c r="D83" s="66"/>
      <c r="E83" s="67"/>
      <c r="F83" s="67"/>
      <c r="G83" s="67"/>
      <c r="H83"/>
    </row>
    <row r="84" spans="2:8" x14ac:dyDescent="0.2">
      <c r="B84" s="65"/>
      <c r="C84" s="66"/>
      <c r="D84" s="66"/>
      <c r="E84" s="67"/>
      <c r="F84" s="67"/>
      <c r="G84" s="67"/>
      <c r="H84"/>
    </row>
    <row r="85" spans="2:8" x14ac:dyDescent="0.2">
      <c r="B85" s="65"/>
      <c r="C85" s="66"/>
      <c r="D85" s="66"/>
      <c r="E85" s="67"/>
      <c r="F85" s="67"/>
      <c r="G85" s="67"/>
      <c r="H85"/>
    </row>
    <row r="86" spans="2:8" x14ac:dyDescent="0.2">
      <c r="B86" s="65"/>
      <c r="C86" s="66"/>
      <c r="D86" s="66"/>
      <c r="E86" s="67"/>
      <c r="F86" s="67"/>
      <c r="G86" s="67"/>
      <c r="H86"/>
    </row>
    <row r="87" spans="2:8" x14ac:dyDescent="0.2">
      <c r="B87" s="65"/>
      <c r="C87" s="66"/>
      <c r="D87" s="66"/>
      <c r="E87" s="67"/>
      <c r="F87" s="67"/>
      <c r="G87" s="67"/>
      <c r="H87"/>
    </row>
    <row r="88" spans="2:8" x14ac:dyDescent="0.2">
      <c r="B88" s="65"/>
      <c r="C88" s="66"/>
      <c r="D88" s="66"/>
      <c r="E88" s="67"/>
      <c r="F88" s="67"/>
      <c r="G88" s="67"/>
      <c r="H88"/>
    </row>
    <row r="89" spans="2:8" x14ac:dyDescent="0.2">
      <c r="B89" s="65"/>
      <c r="C89" s="66"/>
      <c r="D89" s="66"/>
      <c r="E89" s="67"/>
      <c r="F89" s="67"/>
      <c r="G89" s="67"/>
      <c r="H89"/>
    </row>
    <row r="90" spans="2:8" x14ac:dyDescent="0.2">
      <c r="B90" s="65"/>
      <c r="C90" s="66"/>
      <c r="D90" s="66"/>
      <c r="E90" s="67"/>
      <c r="F90" s="67"/>
      <c r="G90" s="67"/>
      <c r="H90"/>
    </row>
    <row r="91" spans="2:8" x14ac:dyDescent="0.2">
      <c r="B91" s="65"/>
      <c r="C91" s="66"/>
      <c r="D91" s="66"/>
      <c r="E91" s="67"/>
      <c r="F91" s="67"/>
      <c r="G91" s="67"/>
      <c r="H91"/>
    </row>
    <row r="92" spans="2:8" x14ac:dyDescent="0.2">
      <c r="B92" s="65"/>
      <c r="C92" s="66"/>
      <c r="D92" s="66"/>
      <c r="E92" s="67"/>
      <c r="F92" s="67"/>
      <c r="G92" s="67"/>
      <c r="H92"/>
    </row>
    <row r="93" spans="2:8" x14ac:dyDescent="0.2">
      <c r="B93" s="65"/>
      <c r="C93" s="66"/>
      <c r="D93" s="66"/>
      <c r="E93" s="67"/>
      <c r="F93" s="67"/>
      <c r="G93" s="67"/>
      <c r="H93"/>
    </row>
    <row r="94" spans="2:8" x14ac:dyDescent="0.2">
      <c r="B94" s="65"/>
      <c r="C94" s="66"/>
      <c r="D94" s="66"/>
      <c r="E94" s="67"/>
      <c r="F94" s="67"/>
      <c r="G94" s="67"/>
      <c r="H94"/>
    </row>
    <row r="95" spans="2:8" x14ac:dyDescent="0.2">
      <c r="B95" s="65"/>
      <c r="C95" s="66"/>
      <c r="D95" s="66"/>
      <c r="E95" s="67"/>
      <c r="F95" s="67"/>
      <c r="G95" s="67"/>
      <c r="H95"/>
    </row>
    <row r="96" spans="2:8" x14ac:dyDescent="0.2">
      <c r="B96" s="65"/>
      <c r="C96" s="66"/>
      <c r="D96" s="66"/>
      <c r="E96" s="67"/>
      <c r="F96" s="67"/>
      <c r="G96" s="67"/>
      <c r="H96"/>
    </row>
    <row r="97" spans="2:8" x14ac:dyDescent="0.2">
      <c r="B97" s="65"/>
      <c r="C97" s="66"/>
      <c r="D97" s="66"/>
      <c r="E97" s="67"/>
      <c r="F97" s="67"/>
      <c r="G97" s="67"/>
      <c r="H97"/>
    </row>
    <row r="98" spans="2:8" x14ac:dyDescent="0.2">
      <c r="B98" s="65"/>
      <c r="C98" s="66"/>
      <c r="D98" s="66"/>
      <c r="E98" s="67"/>
      <c r="F98" s="67"/>
      <c r="G98" s="67"/>
      <c r="H98"/>
    </row>
    <row r="99" spans="2:8" x14ac:dyDescent="0.2">
      <c r="B99" s="65"/>
      <c r="C99" s="66"/>
      <c r="D99" s="66"/>
      <c r="E99" s="67"/>
      <c r="F99" s="67"/>
      <c r="G99" s="67"/>
      <c r="H99"/>
    </row>
    <row r="100" spans="2:8" x14ac:dyDescent="0.2">
      <c r="B100" s="65"/>
      <c r="C100" s="66"/>
      <c r="D100" s="66"/>
      <c r="E100" s="67"/>
      <c r="F100" s="67"/>
      <c r="G100" s="67"/>
      <c r="H100"/>
    </row>
    <row r="101" spans="2:8" x14ac:dyDescent="0.2">
      <c r="B101" s="65"/>
      <c r="C101" s="66"/>
      <c r="D101" s="66"/>
      <c r="E101" s="67"/>
      <c r="F101" s="67"/>
      <c r="G101" s="67"/>
      <c r="H101"/>
    </row>
    <row r="102" spans="2:8" x14ac:dyDescent="0.2">
      <c r="B102" s="65"/>
      <c r="C102" s="66"/>
      <c r="D102" s="66"/>
      <c r="E102" s="67"/>
      <c r="F102" s="67"/>
      <c r="G102" s="67"/>
      <c r="H102"/>
    </row>
    <row r="103" spans="2:8" x14ac:dyDescent="0.2">
      <c r="B103" s="65"/>
      <c r="C103" s="66"/>
      <c r="D103" s="66"/>
      <c r="E103" s="67"/>
      <c r="F103" s="67"/>
      <c r="G103" s="67"/>
      <c r="H103"/>
    </row>
    <row r="104" spans="2:8" x14ac:dyDescent="0.2">
      <c r="B104" s="65"/>
      <c r="C104" s="66"/>
      <c r="D104" s="66"/>
      <c r="E104" s="67"/>
      <c r="F104" s="67"/>
      <c r="G104" s="67"/>
      <c r="H104"/>
    </row>
    <row r="105" spans="2:8" x14ac:dyDescent="0.2">
      <c r="B105" s="65"/>
      <c r="C105" s="66"/>
      <c r="D105" s="66"/>
      <c r="E105" s="67"/>
      <c r="F105" s="67"/>
      <c r="G105" s="67"/>
      <c r="H105"/>
    </row>
    <row r="106" spans="2:8" x14ac:dyDescent="0.2">
      <c r="B106" s="65"/>
      <c r="C106" s="66"/>
      <c r="D106" s="66"/>
      <c r="E106" s="67"/>
      <c r="F106" s="67"/>
      <c r="G106" s="67"/>
      <c r="H106"/>
    </row>
    <row r="107" spans="2:8" x14ac:dyDescent="0.2">
      <c r="B107" s="65"/>
      <c r="C107" s="66"/>
      <c r="D107" s="66"/>
      <c r="E107" s="67"/>
      <c r="F107" s="67"/>
      <c r="G107" s="67"/>
      <c r="H107"/>
    </row>
    <row r="108" spans="2:8" x14ac:dyDescent="0.2">
      <c r="B108" s="65"/>
      <c r="C108" s="66"/>
      <c r="D108" s="66"/>
      <c r="E108" s="67"/>
      <c r="F108" s="67"/>
      <c r="G108" s="67"/>
      <c r="H108"/>
    </row>
    <row r="109" spans="2:8" x14ac:dyDescent="0.2">
      <c r="B109" s="65"/>
      <c r="C109" s="66"/>
      <c r="D109" s="66"/>
      <c r="E109" s="67"/>
      <c r="F109" s="67"/>
      <c r="G109" s="67"/>
      <c r="H109"/>
    </row>
    <row r="110" spans="2:8" x14ac:dyDescent="0.2">
      <c r="B110" s="65"/>
      <c r="C110" s="66"/>
      <c r="D110" s="66"/>
      <c r="E110" s="67"/>
      <c r="F110" s="67"/>
      <c r="G110" s="67"/>
      <c r="H110"/>
    </row>
    <row r="111" spans="2:8" x14ac:dyDescent="0.2">
      <c r="B111" s="65"/>
      <c r="C111" s="66"/>
      <c r="D111" s="66"/>
      <c r="E111" s="67"/>
      <c r="F111" s="67"/>
      <c r="G111" s="67"/>
      <c r="H111"/>
    </row>
    <row r="112" spans="2:8" x14ac:dyDescent="0.2">
      <c r="B112" s="65"/>
      <c r="C112" s="66"/>
      <c r="D112" s="66"/>
      <c r="E112" s="67"/>
      <c r="F112" s="67"/>
      <c r="G112" s="67"/>
      <c r="H112"/>
    </row>
    <row r="113" spans="2:8" x14ac:dyDescent="0.2">
      <c r="B113" s="65"/>
      <c r="C113" s="66"/>
      <c r="D113" s="66"/>
      <c r="E113" s="67"/>
      <c r="F113" s="67"/>
      <c r="G113" s="67"/>
      <c r="H113"/>
    </row>
    <row r="114" spans="2:8" x14ac:dyDescent="0.2">
      <c r="B114" s="65"/>
      <c r="C114" s="66"/>
      <c r="D114" s="66"/>
      <c r="E114" s="67"/>
      <c r="F114" s="67"/>
      <c r="G114" s="67"/>
      <c r="H114"/>
    </row>
    <row r="115" spans="2:8" x14ac:dyDescent="0.2">
      <c r="B115" s="65"/>
      <c r="C115" s="66"/>
      <c r="D115" s="66"/>
      <c r="E115" s="67"/>
      <c r="F115" s="67"/>
      <c r="G115" s="67"/>
      <c r="H115"/>
    </row>
    <row r="116" spans="2:8" x14ac:dyDescent="0.2">
      <c r="B116" s="65"/>
      <c r="C116" s="66"/>
      <c r="D116" s="66"/>
      <c r="E116" s="67"/>
      <c r="F116" s="67"/>
      <c r="G116" s="67"/>
      <c r="H116"/>
    </row>
    <row r="117" spans="2:8" x14ac:dyDescent="0.2">
      <c r="B117" s="65"/>
      <c r="C117" s="66"/>
      <c r="D117" s="66"/>
      <c r="E117" s="67"/>
      <c r="F117" s="67"/>
      <c r="G117" s="67"/>
      <c r="H117"/>
    </row>
    <row r="118" spans="2:8" x14ac:dyDescent="0.2">
      <c r="B118" s="65"/>
      <c r="C118" s="66"/>
      <c r="D118" s="66"/>
      <c r="E118" s="67"/>
      <c r="F118" s="67"/>
      <c r="G118" s="67"/>
      <c r="H118"/>
    </row>
    <row r="119" spans="2:8" x14ac:dyDescent="0.2">
      <c r="B119" s="65"/>
      <c r="C119" s="66"/>
      <c r="D119" s="66"/>
      <c r="E119" s="67"/>
      <c r="F119" s="67"/>
      <c r="G119" s="67"/>
      <c r="H119"/>
    </row>
    <row r="120" spans="2:8" x14ac:dyDescent="0.2">
      <c r="B120" s="65"/>
      <c r="C120" s="66"/>
      <c r="D120" s="66"/>
      <c r="E120" s="67"/>
      <c r="F120" s="67"/>
      <c r="G120" s="67"/>
      <c r="H120"/>
    </row>
    <row r="121" spans="2:8" x14ac:dyDescent="0.2">
      <c r="B121" s="65"/>
      <c r="C121" s="66"/>
      <c r="D121" s="66"/>
      <c r="E121" s="67"/>
      <c r="F121" s="67"/>
      <c r="G121" s="67"/>
      <c r="H121"/>
    </row>
    <row r="122" spans="2:8" x14ac:dyDescent="0.2">
      <c r="B122" s="65"/>
      <c r="C122" s="66"/>
      <c r="D122" s="66"/>
      <c r="E122" s="67"/>
      <c r="F122" s="67"/>
      <c r="G122" s="67"/>
      <c r="H122"/>
    </row>
    <row r="123" spans="2:8" x14ac:dyDescent="0.2">
      <c r="B123" s="65"/>
      <c r="C123" s="66"/>
      <c r="D123" s="66"/>
      <c r="E123" s="67"/>
      <c r="F123" s="67"/>
      <c r="G123" s="67"/>
      <c r="H123"/>
    </row>
    <row r="124" spans="2:8" x14ac:dyDescent="0.2">
      <c r="B124" s="65"/>
      <c r="C124" s="66"/>
      <c r="D124" s="66"/>
      <c r="E124" s="67"/>
      <c r="F124" s="67"/>
      <c r="G124" s="67"/>
      <c r="H124"/>
    </row>
    <row r="125" spans="2:8" x14ac:dyDescent="0.2">
      <c r="B125" s="65"/>
      <c r="C125" s="66"/>
      <c r="D125" s="66"/>
      <c r="E125" s="67"/>
      <c r="F125" s="67"/>
      <c r="G125" s="67"/>
      <c r="H125"/>
    </row>
    <row r="126" spans="2:8" x14ac:dyDescent="0.2">
      <c r="B126" s="65"/>
      <c r="C126" s="66"/>
      <c r="D126" s="66"/>
      <c r="E126" s="67"/>
      <c r="F126" s="67"/>
      <c r="G126" s="67"/>
      <c r="H126"/>
    </row>
    <row r="127" spans="2:8" x14ac:dyDescent="0.2">
      <c r="B127" s="65"/>
      <c r="C127" s="66"/>
      <c r="D127" s="66"/>
      <c r="E127" s="67"/>
      <c r="F127" s="67"/>
      <c r="G127" s="67"/>
      <c r="H127"/>
    </row>
    <row r="128" spans="2:8" x14ac:dyDescent="0.2">
      <c r="B128" s="65"/>
      <c r="C128" s="66"/>
      <c r="D128" s="66"/>
      <c r="E128" s="67"/>
      <c r="F128" s="67"/>
      <c r="G128" s="67"/>
      <c r="H128"/>
    </row>
    <row r="129" spans="2:8" x14ac:dyDescent="0.2">
      <c r="B129" s="65"/>
      <c r="C129" s="66"/>
      <c r="D129" s="66"/>
      <c r="E129" s="67"/>
      <c r="F129" s="67"/>
      <c r="G129" s="67"/>
      <c r="H129"/>
    </row>
    <row r="130" spans="2:8" x14ac:dyDescent="0.2">
      <c r="B130" s="65"/>
      <c r="C130" s="66"/>
      <c r="D130" s="66"/>
      <c r="E130" s="67"/>
      <c r="F130" s="67"/>
      <c r="G130" s="67"/>
      <c r="H130"/>
    </row>
    <row r="131" spans="2:8" x14ac:dyDescent="0.2">
      <c r="B131" s="65"/>
      <c r="C131" s="66"/>
      <c r="D131" s="66"/>
      <c r="E131" s="67"/>
      <c r="F131" s="67"/>
      <c r="G131" s="67"/>
      <c r="H131"/>
    </row>
    <row r="132" spans="2:8" x14ac:dyDescent="0.2">
      <c r="B132" s="65"/>
      <c r="C132" s="66"/>
      <c r="D132" s="66"/>
      <c r="E132" s="67"/>
      <c r="F132" s="67"/>
      <c r="G132" s="67"/>
      <c r="H132"/>
    </row>
    <row r="133" spans="2:8" x14ac:dyDescent="0.2">
      <c r="B133" s="65"/>
      <c r="C133" s="66"/>
      <c r="D133" s="66"/>
      <c r="E133" s="67"/>
      <c r="F133" s="67"/>
      <c r="G133" s="67"/>
      <c r="H133"/>
    </row>
    <row r="134" spans="2:8" x14ac:dyDescent="0.2">
      <c r="B134" s="65"/>
      <c r="C134" s="66"/>
      <c r="D134" s="66"/>
      <c r="E134" s="67"/>
      <c r="F134" s="67"/>
      <c r="G134" s="67"/>
      <c r="H134"/>
    </row>
    <row r="135" spans="2:8" x14ac:dyDescent="0.2">
      <c r="B135" s="65"/>
      <c r="C135" s="66"/>
      <c r="D135" s="66"/>
      <c r="E135" s="67"/>
      <c r="F135" s="67"/>
      <c r="G135" s="67"/>
      <c r="H135"/>
    </row>
    <row r="136" spans="2:8" x14ac:dyDescent="0.2">
      <c r="B136" s="65"/>
      <c r="C136" s="66"/>
      <c r="D136" s="66"/>
      <c r="E136" s="67"/>
      <c r="F136" s="67"/>
      <c r="G136" s="67"/>
      <c r="H136"/>
    </row>
    <row r="137" spans="2:8" x14ac:dyDescent="0.2">
      <c r="B137" s="65"/>
      <c r="C137" s="66"/>
      <c r="D137" s="66"/>
      <c r="E137" s="67"/>
      <c r="F137" s="67"/>
      <c r="G137" s="67"/>
      <c r="H137"/>
    </row>
    <row r="138" spans="2:8" x14ac:dyDescent="0.2">
      <c r="B138" s="65"/>
      <c r="C138" s="66"/>
      <c r="D138" s="66"/>
      <c r="E138" s="67"/>
      <c r="F138" s="67"/>
      <c r="G138" s="67"/>
      <c r="H138"/>
    </row>
    <row r="139" spans="2:8" x14ac:dyDescent="0.2">
      <c r="B139" s="65"/>
      <c r="C139" s="66"/>
      <c r="D139" s="66"/>
      <c r="E139" s="67"/>
      <c r="F139" s="67"/>
      <c r="G139" s="67"/>
      <c r="H139"/>
    </row>
    <row r="140" spans="2:8" x14ac:dyDescent="0.2">
      <c r="B140" s="65"/>
      <c r="C140" s="66"/>
      <c r="D140" s="66"/>
      <c r="E140" s="67"/>
      <c r="F140" s="67"/>
      <c r="G140" s="67"/>
      <c r="H140"/>
    </row>
    <row r="141" spans="2:8" x14ac:dyDescent="0.2">
      <c r="B141" s="65"/>
      <c r="C141" s="66"/>
      <c r="D141" s="66"/>
      <c r="E141" s="67"/>
      <c r="F141" s="67"/>
      <c r="G141" s="67"/>
      <c r="H141"/>
    </row>
    <row r="142" spans="2:8" x14ac:dyDescent="0.2">
      <c r="B142" s="65"/>
      <c r="C142" s="66"/>
      <c r="D142" s="66"/>
      <c r="E142" s="67"/>
      <c r="F142" s="67"/>
      <c r="G142" s="67"/>
      <c r="H142"/>
    </row>
    <row r="143" spans="2:8" x14ac:dyDescent="0.2">
      <c r="B143" s="65"/>
      <c r="C143" s="66"/>
      <c r="D143" s="66"/>
      <c r="E143" s="67"/>
      <c r="F143" s="67"/>
      <c r="G143" s="67"/>
      <c r="H143"/>
    </row>
    <row r="144" spans="2:8" x14ac:dyDescent="0.2">
      <c r="B144" s="65"/>
      <c r="C144" s="66"/>
      <c r="D144" s="66"/>
      <c r="E144" s="67"/>
      <c r="F144" s="67"/>
      <c r="G144" s="67"/>
      <c r="H144"/>
    </row>
    <row r="145" spans="2:8" x14ac:dyDescent="0.2">
      <c r="B145" s="65"/>
      <c r="C145" s="66"/>
      <c r="D145" s="66"/>
      <c r="E145" s="67"/>
      <c r="F145" s="67"/>
      <c r="G145" s="67"/>
      <c r="H145"/>
    </row>
    <row r="146" spans="2:8" x14ac:dyDescent="0.2">
      <c r="B146" s="65"/>
      <c r="C146" s="66"/>
      <c r="D146" s="66"/>
      <c r="E146" s="67"/>
      <c r="F146" s="67"/>
      <c r="G146" s="67"/>
      <c r="H146"/>
    </row>
    <row r="147" spans="2:8" x14ac:dyDescent="0.2">
      <c r="B147" s="65"/>
      <c r="C147" s="66"/>
      <c r="D147" s="66"/>
      <c r="E147" s="67"/>
      <c r="F147" s="67"/>
      <c r="G147" s="67"/>
      <c r="H147"/>
    </row>
    <row r="148" spans="2:8" x14ac:dyDescent="0.2">
      <c r="B148" s="65"/>
      <c r="C148" s="66"/>
      <c r="D148" s="66"/>
      <c r="E148" s="67"/>
      <c r="F148" s="67"/>
      <c r="G148" s="67"/>
      <c r="H148"/>
    </row>
    <row r="149" spans="2:8" x14ac:dyDescent="0.2">
      <c r="B149" s="65"/>
      <c r="C149" s="66"/>
      <c r="D149" s="66"/>
      <c r="E149" s="67"/>
      <c r="F149" s="67"/>
      <c r="G149" s="67"/>
      <c r="H149"/>
    </row>
    <row r="150" spans="2:8" x14ac:dyDescent="0.2">
      <c r="B150" s="65"/>
      <c r="C150" s="66"/>
      <c r="D150" s="66"/>
      <c r="E150" s="67"/>
      <c r="F150" s="67"/>
      <c r="G150" s="67"/>
      <c r="H150"/>
    </row>
    <row r="151" spans="2:8" x14ac:dyDescent="0.2">
      <c r="B151" s="65"/>
      <c r="C151" s="66"/>
      <c r="D151" s="66"/>
      <c r="E151" s="67"/>
      <c r="F151" s="67"/>
      <c r="G151" s="67"/>
      <c r="H151"/>
    </row>
    <row r="152" spans="2:8" x14ac:dyDescent="0.2">
      <c r="B152" s="65"/>
      <c r="C152" s="66"/>
      <c r="D152" s="66"/>
      <c r="E152" s="67"/>
      <c r="F152" s="67"/>
      <c r="G152" s="67"/>
      <c r="H152"/>
    </row>
    <row r="153" spans="2:8" x14ac:dyDescent="0.2">
      <c r="B153" s="65"/>
      <c r="C153" s="66"/>
      <c r="D153" s="66"/>
      <c r="E153" s="67"/>
      <c r="F153" s="67"/>
      <c r="G153" s="67"/>
      <c r="H153"/>
    </row>
    <row r="154" spans="2:8" x14ac:dyDescent="0.2">
      <c r="B154" s="65"/>
      <c r="C154" s="66"/>
      <c r="D154" s="66"/>
      <c r="E154" s="67"/>
      <c r="F154" s="67"/>
      <c r="G154" s="67"/>
      <c r="H154"/>
    </row>
    <row r="155" spans="2:8" x14ac:dyDescent="0.2">
      <c r="B155" s="65"/>
      <c r="C155" s="66"/>
      <c r="D155" s="66"/>
      <c r="E155" s="67"/>
      <c r="F155" s="67"/>
      <c r="G155" s="67"/>
      <c r="H155"/>
    </row>
    <row r="156" spans="2:8" x14ac:dyDescent="0.2">
      <c r="B156" s="65"/>
      <c r="C156" s="66"/>
      <c r="D156" s="66"/>
      <c r="E156" s="67"/>
      <c r="F156" s="67"/>
      <c r="G156" s="67"/>
    </row>
    <row r="157" spans="2:8" x14ac:dyDescent="0.2">
      <c r="B157" s="65"/>
      <c r="C157" s="66"/>
      <c r="D157" s="66"/>
      <c r="E157" s="67"/>
      <c r="F157" s="67"/>
      <c r="G157" s="67"/>
    </row>
    <row r="158" spans="2:8" x14ac:dyDescent="0.2">
      <c r="B158" s="65"/>
      <c r="C158" s="66"/>
      <c r="D158" s="66"/>
      <c r="E158" s="67"/>
      <c r="F158" s="67"/>
      <c r="G158" s="67"/>
    </row>
    <row r="159" spans="2:8" x14ac:dyDescent="0.2">
      <c r="B159" s="65"/>
      <c r="C159" s="66"/>
      <c r="D159" s="66"/>
      <c r="E159" s="67"/>
      <c r="F159" s="67"/>
      <c r="G159" s="67"/>
    </row>
    <row r="160" spans="2:8" x14ac:dyDescent="0.2">
      <c r="B160" s="65"/>
      <c r="C160" s="66"/>
      <c r="D160" s="66"/>
      <c r="E160" s="67"/>
      <c r="F160" s="67"/>
      <c r="G160" s="67"/>
    </row>
    <row r="161" spans="2:7" x14ac:dyDescent="0.2">
      <c r="B161" s="65"/>
      <c r="C161" s="66"/>
      <c r="D161" s="66"/>
      <c r="E161" s="67"/>
      <c r="F161" s="67"/>
      <c r="G161" s="67"/>
    </row>
    <row r="162" spans="2:7" x14ac:dyDescent="0.2">
      <c r="B162" s="65"/>
      <c r="C162" s="66"/>
      <c r="D162" s="66"/>
      <c r="E162" s="67"/>
      <c r="F162" s="67"/>
      <c r="G162" s="67"/>
    </row>
    <row r="163" spans="2:7" x14ac:dyDescent="0.2">
      <c r="B163" s="65"/>
      <c r="C163" s="66"/>
      <c r="D163" s="66"/>
      <c r="E163" s="67"/>
      <c r="F163" s="67"/>
      <c r="G163" s="67"/>
    </row>
    <row r="164" spans="2:7" x14ac:dyDescent="0.2">
      <c r="B164" s="65"/>
      <c r="C164" s="66"/>
      <c r="D164" s="66"/>
      <c r="E164" s="67"/>
      <c r="F164" s="67"/>
      <c r="G164" s="67"/>
    </row>
    <row r="165" spans="2:7" x14ac:dyDescent="0.2">
      <c r="B165" s="65"/>
      <c r="C165" s="66"/>
      <c r="D165" s="66"/>
      <c r="E165" s="67"/>
      <c r="F165" s="67"/>
      <c r="G165" s="67"/>
    </row>
    <row r="166" spans="2:7" x14ac:dyDescent="0.2">
      <c r="B166" s="65"/>
      <c r="C166" s="66"/>
      <c r="D166" s="66"/>
      <c r="E166" s="67"/>
      <c r="F166" s="67"/>
      <c r="G166" s="67"/>
    </row>
    <row r="167" spans="2:7" x14ac:dyDescent="0.2">
      <c r="B167" s="65"/>
      <c r="C167" s="66"/>
      <c r="D167" s="66"/>
      <c r="E167" s="67"/>
      <c r="F167" s="67"/>
      <c r="G167" s="67"/>
    </row>
    <row r="168" spans="2:7" x14ac:dyDescent="0.2">
      <c r="B168" s="65"/>
      <c r="C168" s="66"/>
      <c r="D168" s="66"/>
      <c r="E168" s="67"/>
      <c r="F168" s="67"/>
      <c r="G168" s="67"/>
    </row>
    <row r="169" spans="2:7" x14ac:dyDescent="0.2">
      <c r="B169" s="65"/>
      <c r="C169" s="66"/>
      <c r="D169" s="66"/>
      <c r="E169" s="67"/>
      <c r="F169" s="67"/>
      <c r="G169" s="67"/>
    </row>
    <row r="170" spans="2:7" x14ac:dyDescent="0.2">
      <c r="B170" s="65"/>
      <c r="C170" s="66"/>
      <c r="D170" s="66"/>
      <c r="E170" s="67"/>
      <c r="F170" s="67"/>
      <c r="G170" s="67"/>
    </row>
    <row r="171" spans="2:7" x14ac:dyDescent="0.2">
      <c r="B171" s="65"/>
      <c r="C171" s="66"/>
      <c r="D171" s="66"/>
      <c r="E171" s="67"/>
      <c r="F171" s="67"/>
      <c r="G171" s="67"/>
    </row>
    <row r="172" spans="2:7" x14ac:dyDescent="0.2">
      <c r="B172" s="65"/>
      <c r="C172" s="66"/>
      <c r="D172" s="66"/>
      <c r="E172" s="67"/>
      <c r="F172" s="67"/>
      <c r="G172" s="67"/>
    </row>
    <row r="173" spans="2:7" x14ac:dyDescent="0.2">
      <c r="B173" s="65"/>
      <c r="C173" s="66"/>
      <c r="D173" s="66"/>
      <c r="E173" s="67"/>
      <c r="F173" s="67"/>
      <c r="G173" s="67"/>
    </row>
    <row r="174" spans="2:7" x14ac:dyDescent="0.2">
      <c r="B174" s="65"/>
      <c r="C174" s="66"/>
      <c r="D174" s="66"/>
      <c r="E174" s="67"/>
      <c r="F174" s="67"/>
      <c r="G174" s="67"/>
    </row>
    <row r="175" spans="2:7" x14ac:dyDescent="0.2">
      <c r="B175" s="65"/>
      <c r="C175" s="66"/>
      <c r="D175" s="66"/>
      <c r="E175" s="67"/>
      <c r="F175" s="67"/>
      <c r="G175" s="67"/>
    </row>
    <row r="176" spans="2:7" x14ac:dyDescent="0.2">
      <c r="B176" s="65"/>
      <c r="C176" s="66"/>
      <c r="D176" s="66"/>
      <c r="E176" s="67"/>
      <c r="F176" s="67"/>
      <c r="G176" s="67"/>
    </row>
    <row r="177" spans="2:7" x14ac:dyDescent="0.2">
      <c r="B177" s="65"/>
      <c r="C177" s="66"/>
      <c r="D177" s="66"/>
      <c r="E177" s="67"/>
      <c r="F177" s="67"/>
      <c r="G177" s="67"/>
    </row>
    <row r="178" spans="2:7" x14ac:dyDescent="0.2">
      <c r="B178" s="65"/>
      <c r="C178" s="66"/>
      <c r="D178" s="66"/>
      <c r="E178" s="67"/>
      <c r="F178" s="67"/>
      <c r="G178" s="67"/>
    </row>
    <row r="179" spans="2:7" x14ac:dyDescent="0.2">
      <c r="B179" s="65"/>
      <c r="C179" s="66"/>
      <c r="D179" s="66"/>
      <c r="E179" s="67"/>
      <c r="F179" s="67"/>
      <c r="G179" s="67"/>
    </row>
    <row r="180" spans="2:7" x14ac:dyDescent="0.2">
      <c r="B180" s="65"/>
      <c r="C180" s="66"/>
      <c r="D180" s="66"/>
      <c r="E180" s="67"/>
      <c r="F180" s="67"/>
      <c r="G180" s="67"/>
    </row>
    <row r="181" spans="2:7" x14ac:dyDescent="0.2">
      <c r="B181" s="65"/>
      <c r="C181" s="66"/>
      <c r="D181" s="66"/>
      <c r="E181" s="67"/>
      <c r="F181" s="67"/>
      <c r="G181" s="67"/>
    </row>
    <row r="182" spans="2:7" x14ac:dyDescent="0.2">
      <c r="B182" s="65"/>
      <c r="C182" s="66"/>
      <c r="D182" s="66"/>
      <c r="E182" s="67"/>
      <c r="F182" s="67"/>
      <c r="G182" s="67"/>
    </row>
    <row r="183" spans="2:7" x14ac:dyDescent="0.2">
      <c r="B183" s="65"/>
      <c r="C183" s="66"/>
      <c r="D183" s="66"/>
      <c r="E183" s="67"/>
      <c r="F183" s="67"/>
      <c r="G183" s="67"/>
    </row>
    <row r="184" spans="2:7" x14ac:dyDescent="0.2">
      <c r="B184" s="65"/>
      <c r="C184" s="66"/>
      <c r="D184" s="66"/>
      <c r="E184" s="67"/>
      <c r="F184" s="67"/>
      <c r="G184" s="67"/>
    </row>
    <row r="185" spans="2:7" x14ac:dyDescent="0.2">
      <c r="B185" s="65"/>
      <c r="C185" s="66"/>
      <c r="D185" s="66"/>
      <c r="E185" s="67"/>
      <c r="F185" s="67"/>
      <c r="G185" s="67"/>
    </row>
    <row r="186" spans="2:7" x14ac:dyDescent="0.2">
      <c r="B186" s="65"/>
      <c r="C186" s="66"/>
      <c r="D186" s="66"/>
      <c r="E186" s="67"/>
      <c r="F186" s="67"/>
      <c r="G186" s="67"/>
    </row>
    <row r="187" spans="2:7" x14ac:dyDescent="0.2">
      <c r="B187" s="65"/>
      <c r="C187" s="66"/>
      <c r="D187" s="66"/>
      <c r="E187" s="67"/>
      <c r="F187" s="67"/>
      <c r="G187" s="67"/>
    </row>
    <row r="188" spans="2:7" x14ac:dyDescent="0.2">
      <c r="B188" s="65"/>
      <c r="C188" s="66"/>
      <c r="D188" s="66"/>
      <c r="E188" s="67"/>
      <c r="F188" s="67"/>
      <c r="G188" s="67"/>
    </row>
    <row r="189" spans="2:7" x14ac:dyDescent="0.2">
      <c r="B189" s="65"/>
      <c r="C189" s="66"/>
      <c r="D189" s="66"/>
      <c r="E189" s="67"/>
      <c r="F189" s="67"/>
      <c r="G189" s="67"/>
    </row>
    <row r="190" spans="2:7" x14ac:dyDescent="0.2">
      <c r="B190" s="65"/>
      <c r="C190" s="66"/>
      <c r="D190" s="66"/>
      <c r="E190" s="67"/>
      <c r="F190" s="67"/>
      <c r="G190" s="67"/>
    </row>
    <row r="191" spans="2:7" x14ac:dyDescent="0.2">
      <c r="B191" s="65"/>
      <c r="C191" s="66"/>
      <c r="D191" s="66"/>
      <c r="E191" s="67"/>
      <c r="F191" s="67"/>
      <c r="G191" s="67"/>
    </row>
    <row r="192" spans="2:7" x14ac:dyDescent="0.2">
      <c r="B192" s="65"/>
      <c r="C192" s="66"/>
      <c r="D192" s="66"/>
      <c r="E192" s="67"/>
      <c r="F192" s="67"/>
      <c r="G192" s="67"/>
    </row>
    <row r="193" spans="2:7" x14ac:dyDescent="0.2">
      <c r="B193" s="65"/>
      <c r="C193" s="66"/>
      <c r="D193" s="66"/>
      <c r="E193" s="67"/>
      <c r="F193" s="67"/>
      <c r="G193" s="67"/>
    </row>
    <row r="194" spans="2:7" x14ac:dyDescent="0.2">
      <c r="B194" s="65"/>
      <c r="C194" s="66"/>
      <c r="D194" s="66"/>
      <c r="E194" s="67"/>
      <c r="F194" s="67"/>
      <c r="G194" s="67"/>
    </row>
    <row r="195" spans="2:7" x14ac:dyDescent="0.2">
      <c r="B195" s="65"/>
      <c r="C195" s="66"/>
      <c r="D195" s="66"/>
      <c r="E195" s="67"/>
      <c r="F195" s="67"/>
      <c r="G195" s="67"/>
    </row>
    <row r="196" spans="2:7" x14ac:dyDescent="0.2">
      <c r="B196" s="65"/>
      <c r="C196" s="66"/>
      <c r="D196" s="66"/>
      <c r="E196" s="67"/>
      <c r="F196" s="67"/>
      <c r="G196" s="67"/>
    </row>
    <row r="197" spans="2:7" x14ac:dyDescent="0.2">
      <c r="B197" s="65"/>
      <c r="C197" s="66"/>
      <c r="D197" s="66"/>
      <c r="E197" s="67"/>
      <c r="F197" s="67"/>
      <c r="G197" s="67"/>
    </row>
    <row r="198" spans="2:7" x14ac:dyDescent="0.2">
      <c r="B198" s="65"/>
      <c r="C198" s="66"/>
      <c r="D198" s="66"/>
      <c r="E198" s="67"/>
      <c r="F198" s="67"/>
      <c r="G198" s="67"/>
    </row>
    <row r="199" spans="2:7" x14ac:dyDescent="0.2">
      <c r="B199" s="65"/>
      <c r="C199" s="66"/>
      <c r="D199" s="66"/>
      <c r="E199" s="67"/>
      <c r="F199" s="67"/>
      <c r="G199" s="67"/>
    </row>
    <row r="200" spans="2:7" x14ac:dyDescent="0.2">
      <c r="B200" s="65"/>
      <c r="C200" s="66"/>
      <c r="D200" s="66"/>
      <c r="E200" s="67"/>
      <c r="F200" s="67"/>
      <c r="G200" s="67"/>
    </row>
    <row r="201" spans="2:7" x14ac:dyDescent="0.2">
      <c r="B201" s="65"/>
      <c r="C201" s="66"/>
      <c r="D201" s="66"/>
      <c r="E201" s="67"/>
      <c r="F201" s="67"/>
      <c r="G201" s="67"/>
    </row>
    <row r="202" spans="2:7" x14ac:dyDescent="0.2">
      <c r="B202" s="65"/>
      <c r="C202" s="66"/>
      <c r="D202" s="66"/>
      <c r="E202" s="67"/>
      <c r="F202" s="67"/>
      <c r="G202" s="67"/>
    </row>
    <row r="203" spans="2:7" x14ac:dyDescent="0.2">
      <c r="B203" s="65"/>
      <c r="C203" s="66"/>
      <c r="D203" s="66"/>
      <c r="E203" s="67"/>
      <c r="F203" s="67"/>
      <c r="G203" s="67"/>
    </row>
    <row r="204" spans="2:7" x14ac:dyDescent="0.2">
      <c r="B204" s="65"/>
      <c r="C204" s="66"/>
      <c r="D204" s="66"/>
      <c r="E204" s="67"/>
      <c r="F204" s="67"/>
      <c r="G204" s="67"/>
    </row>
    <row r="205" spans="2:7" x14ac:dyDescent="0.2">
      <c r="B205" s="65"/>
      <c r="C205" s="66"/>
      <c r="D205" s="66"/>
      <c r="E205" s="67"/>
      <c r="F205" s="67"/>
      <c r="G205" s="67"/>
    </row>
    <row r="206" spans="2:7" x14ac:dyDescent="0.2">
      <c r="B206" s="65"/>
      <c r="C206" s="66"/>
      <c r="D206" s="66"/>
      <c r="E206" s="67"/>
      <c r="F206" s="67"/>
      <c r="G206" s="67"/>
    </row>
    <row r="207" spans="2:7" x14ac:dyDescent="0.2">
      <c r="B207" s="65"/>
      <c r="C207" s="66"/>
      <c r="D207" s="66"/>
      <c r="E207" s="67"/>
      <c r="F207" s="67"/>
      <c r="G207" s="67"/>
    </row>
    <row r="208" spans="2:7" x14ac:dyDescent="0.2">
      <c r="B208" s="65"/>
      <c r="C208" s="66"/>
      <c r="D208" s="66"/>
      <c r="E208" s="67"/>
      <c r="F208" s="67"/>
      <c r="G208" s="67"/>
    </row>
    <row r="209" spans="2:7" x14ac:dyDescent="0.2">
      <c r="B209" s="65"/>
      <c r="C209" s="66"/>
      <c r="D209" s="66"/>
      <c r="E209" s="67"/>
      <c r="F209" s="67"/>
      <c r="G209" s="67"/>
    </row>
    <row r="210" spans="2:7" x14ac:dyDescent="0.2">
      <c r="B210" s="65"/>
      <c r="C210" s="66"/>
      <c r="D210" s="66"/>
      <c r="E210" s="67"/>
      <c r="F210" s="67"/>
      <c r="G210" s="67"/>
    </row>
    <row r="211" spans="2:7" x14ac:dyDescent="0.2">
      <c r="B211" s="65"/>
      <c r="C211" s="66"/>
      <c r="D211" s="66"/>
      <c r="E211" s="67"/>
      <c r="F211" s="67"/>
      <c r="G211" s="67"/>
    </row>
    <row r="212" spans="2:7" x14ac:dyDescent="0.2">
      <c r="B212" s="65"/>
      <c r="C212" s="66"/>
      <c r="D212" s="66"/>
      <c r="E212" s="67"/>
      <c r="F212" s="67"/>
      <c r="G212" s="67"/>
    </row>
    <row r="213" spans="2:7" x14ac:dyDescent="0.2">
      <c r="B213" s="65"/>
      <c r="C213" s="66"/>
      <c r="D213" s="66"/>
      <c r="E213" s="67"/>
      <c r="F213" s="67"/>
      <c r="G213" s="67"/>
    </row>
    <row r="214" spans="2:7" x14ac:dyDescent="0.2">
      <c r="B214" s="65"/>
      <c r="C214" s="66"/>
      <c r="D214" s="66"/>
      <c r="E214" s="67"/>
      <c r="F214" s="67"/>
      <c r="G214" s="67"/>
    </row>
    <row r="215" spans="2:7" x14ac:dyDescent="0.2">
      <c r="B215" s="65"/>
      <c r="C215" s="66"/>
      <c r="D215" s="66"/>
      <c r="E215" s="67"/>
      <c r="F215" s="67"/>
      <c r="G215" s="67"/>
    </row>
    <row r="216" spans="2:7" x14ac:dyDescent="0.2">
      <c r="B216" s="65"/>
      <c r="C216" s="66"/>
      <c r="D216" s="66"/>
      <c r="E216" s="67"/>
      <c r="F216" s="67"/>
      <c r="G216" s="67"/>
    </row>
    <row r="217" spans="2:7" x14ac:dyDescent="0.2">
      <c r="B217" s="65"/>
      <c r="C217" s="66"/>
      <c r="D217" s="66"/>
      <c r="E217" s="67"/>
      <c r="F217" s="67"/>
      <c r="G217" s="67"/>
    </row>
    <row r="218" spans="2:7" x14ac:dyDescent="0.2">
      <c r="B218" s="65"/>
      <c r="C218" s="66"/>
      <c r="D218" s="66"/>
      <c r="E218" s="67"/>
      <c r="F218" s="67"/>
      <c r="G218" s="67"/>
    </row>
    <row r="219" spans="2:7" x14ac:dyDescent="0.2">
      <c r="B219" s="65"/>
      <c r="C219" s="66"/>
      <c r="D219" s="66"/>
      <c r="E219" s="67"/>
      <c r="F219" s="67"/>
      <c r="G219" s="67"/>
    </row>
    <row r="220" spans="2:7" x14ac:dyDescent="0.2">
      <c r="B220" s="65"/>
      <c r="C220" s="66"/>
      <c r="D220" s="66"/>
      <c r="E220" s="67"/>
      <c r="F220" s="67"/>
      <c r="G220" s="67"/>
    </row>
    <row r="221" spans="2:7" x14ac:dyDescent="0.2">
      <c r="B221" s="65"/>
      <c r="C221" s="66"/>
      <c r="D221" s="66"/>
      <c r="E221" s="67"/>
      <c r="F221" s="67"/>
      <c r="G221" s="67"/>
    </row>
    <row r="222" spans="2:7" x14ac:dyDescent="0.2">
      <c r="B222" s="65"/>
      <c r="C222" s="66"/>
      <c r="D222" s="66"/>
      <c r="E222" s="67"/>
      <c r="F222" s="67"/>
      <c r="G222" s="67"/>
    </row>
    <row r="223" spans="2:7" x14ac:dyDescent="0.2">
      <c r="B223" s="65"/>
      <c r="C223" s="66"/>
      <c r="D223" s="66"/>
      <c r="E223" s="67"/>
      <c r="F223" s="67"/>
      <c r="G223" s="67"/>
    </row>
    <row r="224" spans="2:7" x14ac:dyDescent="0.2">
      <c r="B224" s="65"/>
      <c r="C224" s="66"/>
      <c r="D224" s="66"/>
      <c r="E224" s="67"/>
      <c r="F224" s="67"/>
      <c r="G224" s="67"/>
    </row>
    <row r="225" spans="2:7" x14ac:dyDescent="0.2">
      <c r="B225" s="65"/>
      <c r="C225" s="66"/>
      <c r="D225" s="66"/>
      <c r="E225" s="67"/>
      <c r="F225" s="67"/>
      <c r="G225" s="67"/>
    </row>
    <row r="226" spans="2:7" x14ac:dyDescent="0.2">
      <c r="B226" s="65"/>
      <c r="C226" s="66"/>
      <c r="D226" s="66"/>
      <c r="E226" s="67"/>
      <c r="F226" s="67"/>
      <c r="G226" s="67"/>
    </row>
    <row r="227" spans="2:7" x14ac:dyDescent="0.2">
      <c r="B227" s="65"/>
      <c r="C227" s="66"/>
      <c r="D227" s="66"/>
      <c r="E227" s="67"/>
      <c r="F227" s="67"/>
      <c r="G227" s="67"/>
    </row>
    <row r="228" spans="2:7" x14ac:dyDescent="0.2">
      <c r="B228" s="65"/>
      <c r="C228" s="66"/>
      <c r="D228" s="66"/>
      <c r="E228" s="67"/>
      <c r="F228" s="67"/>
      <c r="G228" s="67"/>
    </row>
    <row r="229" spans="2:7" x14ac:dyDescent="0.2">
      <c r="B229" s="65"/>
      <c r="C229" s="66"/>
      <c r="D229" s="66"/>
      <c r="E229" s="67"/>
      <c r="F229" s="67"/>
      <c r="G229" s="67"/>
    </row>
    <row r="230" spans="2:7" x14ac:dyDescent="0.2">
      <c r="B230" s="65"/>
      <c r="C230" s="66"/>
      <c r="D230" s="66"/>
      <c r="E230" s="67"/>
      <c r="F230" s="67"/>
      <c r="G230" s="67"/>
    </row>
    <row r="231" spans="2:7" x14ac:dyDescent="0.2">
      <c r="B231" s="65"/>
      <c r="C231" s="66"/>
      <c r="D231" s="66"/>
      <c r="E231" s="67"/>
      <c r="F231" s="67"/>
      <c r="G231" s="67"/>
    </row>
    <row r="232" spans="2:7" x14ac:dyDescent="0.2">
      <c r="B232" s="65"/>
      <c r="C232" s="66"/>
      <c r="D232" s="66"/>
      <c r="E232" s="67"/>
      <c r="F232" s="67"/>
      <c r="G232" s="67"/>
    </row>
    <row r="233" spans="2:7" x14ac:dyDescent="0.2">
      <c r="B233" s="65"/>
      <c r="C233" s="66"/>
      <c r="D233" s="66"/>
      <c r="E233" s="67"/>
      <c r="F233" s="67"/>
      <c r="G233" s="67"/>
    </row>
    <row r="234" spans="2:7" x14ac:dyDescent="0.2">
      <c r="B234" s="65"/>
      <c r="C234" s="66"/>
      <c r="D234" s="66"/>
      <c r="E234" s="67"/>
      <c r="F234" s="67"/>
      <c r="G234" s="67"/>
    </row>
    <row r="235" spans="2:7" x14ac:dyDescent="0.2">
      <c r="B235" s="65"/>
      <c r="C235" s="66"/>
      <c r="D235" s="66"/>
      <c r="E235" s="67"/>
      <c r="F235" s="67"/>
      <c r="G235" s="67"/>
    </row>
    <row r="236" spans="2:7" x14ac:dyDescent="0.2">
      <c r="B236" s="65"/>
      <c r="C236" s="66"/>
      <c r="D236" s="66"/>
      <c r="E236" s="67"/>
      <c r="F236" s="67"/>
      <c r="G236" s="67"/>
    </row>
    <row r="237" spans="2:7" x14ac:dyDescent="0.2">
      <c r="B237" s="65"/>
      <c r="C237" s="66"/>
      <c r="D237" s="66"/>
      <c r="E237" s="67"/>
      <c r="F237" s="67"/>
      <c r="G237" s="67"/>
    </row>
    <row r="238" spans="2:7" x14ac:dyDescent="0.2">
      <c r="B238" s="65"/>
      <c r="C238" s="66"/>
      <c r="D238" s="66"/>
      <c r="E238" s="67"/>
      <c r="F238" s="67"/>
      <c r="G238" s="67"/>
    </row>
    <row r="239" spans="2:7" x14ac:dyDescent="0.2">
      <c r="B239" s="65"/>
      <c r="C239" s="66"/>
      <c r="D239" s="66"/>
      <c r="E239" s="67"/>
      <c r="F239" s="67"/>
      <c r="G239" s="67"/>
    </row>
    <row r="240" spans="2:7" x14ac:dyDescent="0.2">
      <c r="B240" s="65"/>
      <c r="C240" s="66"/>
      <c r="D240" s="66"/>
      <c r="E240" s="67"/>
      <c r="F240" s="67"/>
      <c r="G240" s="67"/>
    </row>
    <row r="241" spans="2:7" x14ac:dyDescent="0.2">
      <c r="B241" s="65"/>
      <c r="C241" s="66"/>
      <c r="D241" s="66"/>
      <c r="E241" s="67"/>
      <c r="F241" s="67"/>
      <c r="G241" s="67"/>
    </row>
    <row r="242" spans="2:7" x14ac:dyDescent="0.2">
      <c r="B242" s="65"/>
      <c r="C242" s="66"/>
      <c r="D242" s="66"/>
      <c r="E242" s="67"/>
      <c r="F242" s="67"/>
      <c r="G242" s="67"/>
    </row>
    <row r="243" spans="2:7" x14ac:dyDescent="0.2">
      <c r="B243" s="65"/>
      <c r="C243" s="66"/>
      <c r="D243" s="66"/>
      <c r="E243" s="67"/>
      <c r="F243" s="67"/>
      <c r="G243" s="67"/>
    </row>
    <row r="244" spans="2:7" x14ac:dyDescent="0.2">
      <c r="B244" s="65"/>
      <c r="C244" s="66"/>
      <c r="D244" s="66"/>
      <c r="E244" s="67"/>
      <c r="F244" s="67"/>
      <c r="G244" s="67"/>
    </row>
    <row r="245" spans="2:7" x14ac:dyDescent="0.2">
      <c r="B245" s="65"/>
      <c r="C245" s="66"/>
      <c r="D245" s="66"/>
      <c r="E245" s="67"/>
      <c r="F245" s="67"/>
      <c r="G245" s="67"/>
    </row>
    <row r="246" spans="2:7" x14ac:dyDescent="0.2">
      <c r="B246" s="65"/>
      <c r="C246" s="66"/>
      <c r="D246" s="66"/>
      <c r="E246" s="67"/>
      <c r="F246" s="67"/>
      <c r="G246" s="67"/>
    </row>
    <row r="247" spans="2:7" x14ac:dyDescent="0.2">
      <c r="B247" s="65"/>
      <c r="C247" s="66"/>
      <c r="D247" s="66"/>
      <c r="E247" s="67"/>
      <c r="F247" s="67"/>
      <c r="G247" s="67"/>
    </row>
    <row r="248" spans="2:7" x14ac:dyDescent="0.2">
      <c r="B248" s="65"/>
      <c r="C248" s="66"/>
      <c r="D248" s="66"/>
      <c r="E248" s="67"/>
      <c r="F248" s="67"/>
      <c r="G248" s="67"/>
    </row>
    <row r="249" spans="2:7" x14ac:dyDescent="0.2">
      <c r="B249" s="65"/>
      <c r="C249" s="66"/>
      <c r="D249" s="66"/>
      <c r="E249" s="67"/>
      <c r="F249" s="67"/>
      <c r="G249" s="67"/>
    </row>
    <row r="250" spans="2:7" x14ac:dyDescent="0.2">
      <c r="B250" s="65"/>
      <c r="C250" s="66"/>
      <c r="D250" s="66"/>
      <c r="E250" s="67"/>
      <c r="F250" s="67"/>
      <c r="G250" s="67"/>
    </row>
    <row r="251" spans="2:7" x14ac:dyDescent="0.2">
      <c r="B251" s="65"/>
      <c r="C251" s="66"/>
      <c r="D251" s="66"/>
      <c r="E251" s="67"/>
      <c r="F251" s="67"/>
      <c r="G251" s="67"/>
    </row>
    <row r="252" spans="2:7" x14ac:dyDescent="0.2">
      <c r="B252" s="65"/>
      <c r="C252" s="66"/>
      <c r="D252" s="66"/>
      <c r="E252" s="67"/>
      <c r="F252" s="67"/>
      <c r="G252" s="67"/>
    </row>
    <row r="253" spans="2:7" x14ac:dyDescent="0.2">
      <c r="B253" s="65"/>
      <c r="C253" s="66"/>
      <c r="D253" s="66"/>
      <c r="E253" s="67"/>
      <c r="F253" s="67"/>
      <c r="G253" s="67"/>
    </row>
    <row r="254" spans="2:7" x14ac:dyDescent="0.2">
      <c r="B254" s="65"/>
      <c r="C254" s="66"/>
      <c r="D254" s="66"/>
      <c r="E254" s="67"/>
      <c r="F254" s="67"/>
      <c r="G254" s="67"/>
    </row>
    <row r="255" spans="2:7" x14ac:dyDescent="0.2">
      <c r="B255" s="65"/>
      <c r="C255" s="66"/>
      <c r="D255" s="66"/>
      <c r="E255" s="67"/>
      <c r="F255" s="67"/>
      <c r="G255" s="67"/>
    </row>
    <row r="256" spans="2:7" x14ac:dyDescent="0.2">
      <c r="B256" s="65"/>
      <c r="C256" s="66"/>
      <c r="D256" s="66"/>
      <c r="E256" s="67"/>
      <c r="F256" s="67"/>
      <c r="G256" s="67"/>
    </row>
    <row r="257" spans="2:7" x14ac:dyDescent="0.2">
      <c r="B257" s="65"/>
      <c r="C257" s="66"/>
      <c r="D257" s="66"/>
      <c r="E257" s="67"/>
      <c r="F257" s="67"/>
      <c r="G257" s="67"/>
    </row>
    <row r="258" spans="2:7" x14ac:dyDescent="0.2">
      <c r="B258" s="65"/>
      <c r="C258" s="66"/>
      <c r="D258" s="66"/>
      <c r="E258" s="67"/>
      <c r="F258" s="67"/>
      <c r="G258" s="67"/>
    </row>
    <row r="259" spans="2:7" x14ac:dyDescent="0.2">
      <c r="B259" s="65"/>
      <c r="C259" s="66"/>
      <c r="D259" s="66"/>
      <c r="E259" s="67"/>
      <c r="F259" s="67"/>
      <c r="G259" s="67"/>
    </row>
    <row r="260" spans="2:7" x14ac:dyDescent="0.2">
      <c r="B260" s="65"/>
      <c r="C260" s="66"/>
      <c r="D260" s="66"/>
      <c r="E260" s="67"/>
      <c r="F260" s="67"/>
      <c r="G260" s="67"/>
    </row>
    <row r="261" spans="2:7" x14ac:dyDescent="0.2">
      <c r="B261" s="65"/>
      <c r="C261" s="66"/>
      <c r="D261" s="66"/>
      <c r="E261" s="67"/>
      <c r="F261" s="67"/>
      <c r="G261" s="67"/>
    </row>
    <row r="262" spans="2:7" x14ac:dyDescent="0.2">
      <c r="B262" s="65"/>
      <c r="C262" s="66"/>
      <c r="D262" s="66"/>
      <c r="E262" s="67"/>
      <c r="F262" s="67"/>
      <c r="G262" s="67"/>
    </row>
    <row r="263" spans="2:7" x14ac:dyDescent="0.2">
      <c r="B263" s="65"/>
      <c r="C263" s="66"/>
      <c r="D263" s="66"/>
      <c r="E263" s="67"/>
      <c r="F263" s="67"/>
      <c r="G263" s="67"/>
    </row>
    <row r="264" spans="2:7" x14ac:dyDescent="0.2">
      <c r="B264" s="65"/>
      <c r="C264" s="66"/>
      <c r="D264" s="66"/>
      <c r="E264" s="67"/>
      <c r="F264" s="67"/>
      <c r="G264" s="67"/>
    </row>
    <row r="265" spans="2:7" x14ac:dyDescent="0.2">
      <c r="B265" s="65"/>
      <c r="C265" s="66"/>
      <c r="D265" s="66"/>
      <c r="E265" s="67"/>
      <c r="F265" s="67"/>
      <c r="G265" s="67"/>
    </row>
    <row r="266" spans="2:7" x14ac:dyDescent="0.2">
      <c r="B266" s="65"/>
      <c r="C266" s="66"/>
      <c r="D266" s="66"/>
      <c r="E266" s="67"/>
      <c r="F266" s="67"/>
      <c r="G266" s="67"/>
    </row>
    <row r="267" spans="2:7" x14ac:dyDescent="0.2">
      <c r="B267" s="65"/>
      <c r="C267" s="66"/>
      <c r="D267" s="66"/>
      <c r="E267" s="67"/>
      <c r="F267" s="67"/>
      <c r="G267" s="67"/>
    </row>
    <row r="268" spans="2:7" x14ac:dyDescent="0.2">
      <c r="B268" s="65"/>
      <c r="C268" s="66"/>
      <c r="D268" s="66"/>
      <c r="E268" s="67"/>
      <c r="F268" s="67"/>
      <c r="G268" s="67"/>
    </row>
    <row r="269" spans="2:7" x14ac:dyDescent="0.2">
      <c r="B269" s="65"/>
      <c r="C269" s="66"/>
      <c r="D269" s="66"/>
      <c r="E269" s="67"/>
      <c r="F269" s="67"/>
      <c r="G269" s="67"/>
    </row>
    <row r="270" spans="2:7" x14ac:dyDescent="0.2">
      <c r="B270" s="65"/>
      <c r="C270" s="66"/>
      <c r="D270" s="66"/>
      <c r="E270" s="67"/>
      <c r="F270" s="67"/>
      <c r="G270" s="67"/>
    </row>
    <row r="271" spans="2:7" x14ac:dyDescent="0.2">
      <c r="B271" s="65"/>
      <c r="C271" s="66"/>
      <c r="D271" s="66"/>
      <c r="E271" s="67"/>
      <c r="F271" s="67"/>
      <c r="G271" s="67"/>
    </row>
    <row r="272" spans="2:7" x14ac:dyDescent="0.2">
      <c r="B272" s="65"/>
      <c r="C272" s="66"/>
      <c r="D272" s="66"/>
      <c r="E272" s="67"/>
      <c r="F272" s="67"/>
      <c r="G272" s="67"/>
    </row>
    <row r="273" spans="2:7" x14ac:dyDescent="0.2">
      <c r="B273" s="65"/>
      <c r="C273" s="66"/>
      <c r="D273" s="66"/>
      <c r="E273" s="67"/>
      <c r="F273" s="67"/>
      <c r="G273" s="67"/>
    </row>
    <row r="274" spans="2:7" x14ac:dyDescent="0.2">
      <c r="B274" s="65"/>
      <c r="C274" s="66"/>
      <c r="D274" s="66"/>
      <c r="E274" s="67"/>
      <c r="F274" s="67"/>
      <c r="G274" s="67"/>
    </row>
    <row r="275" spans="2:7" x14ac:dyDescent="0.2">
      <c r="B275" s="65"/>
      <c r="C275" s="66"/>
      <c r="D275" s="66"/>
      <c r="E275" s="67"/>
      <c r="F275" s="67"/>
      <c r="G275" s="67"/>
    </row>
    <row r="276" spans="2:7" x14ac:dyDescent="0.2">
      <c r="B276" s="65"/>
      <c r="C276" s="66"/>
      <c r="D276" s="66"/>
      <c r="E276" s="67"/>
      <c r="F276" s="67"/>
      <c r="G276" s="67"/>
    </row>
    <row r="277" spans="2:7" x14ac:dyDescent="0.2">
      <c r="B277" s="65"/>
      <c r="C277" s="66"/>
      <c r="D277" s="66"/>
      <c r="E277" s="67"/>
      <c r="F277" s="67"/>
      <c r="G277" s="67"/>
    </row>
    <row r="278" spans="2:7" x14ac:dyDescent="0.2">
      <c r="B278" s="65"/>
      <c r="C278" s="66"/>
      <c r="D278" s="66"/>
      <c r="E278" s="67"/>
      <c r="F278" s="67"/>
      <c r="G278" s="67"/>
    </row>
    <row r="279" spans="2:7" x14ac:dyDescent="0.2">
      <c r="B279" s="65"/>
      <c r="C279" s="66"/>
      <c r="D279" s="66"/>
      <c r="E279" s="67"/>
      <c r="F279" s="67"/>
      <c r="G279" s="67"/>
    </row>
    <row r="280" spans="2:7" x14ac:dyDescent="0.2">
      <c r="B280" s="65"/>
      <c r="C280" s="66"/>
      <c r="D280" s="66"/>
      <c r="E280" s="67"/>
      <c r="F280" s="67"/>
      <c r="G280" s="67"/>
    </row>
    <row r="281" spans="2:7" x14ac:dyDescent="0.2">
      <c r="B281" s="65"/>
      <c r="C281" s="66"/>
      <c r="D281" s="66"/>
      <c r="E281" s="67"/>
      <c r="F281" s="67"/>
      <c r="G281" s="67"/>
    </row>
    <row r="282" spans="2:7" x14ac:dyDescent="0.2">
      <c r="B282" s="65"/>
      <c r="C282" s="66"/>
      <c r="D282" s="66"/>
      <c r="E282" s="67"/>
      <c r="F282" s="67"/>
      <c r="G282" s="67"/>
    </row>
    <row r="283" spans="2:7" x14ac:dyDescent="0.2">
      <c r="B283" s="65"/>
      <c r="C283" s="66"/>
      <c r="D283" s="66"/>
      <c r="E283" s="67"/>
      <c r="F283" s="67"/>
      <c r="G283" s="67"/>
    </row>
    <row r="284" spans="2:7" x14ac:dyDescent="0.2">
      <c r="B284" s="65"/>
      <c r="C284" s="66"/>
      <c r="D284" s="66"/>
      <c r="E284" s="67"/>
      <c r="F284" s="67"/>
      <c r="G284" s="67"/>
    </row>
    <row r="285" spans="2:7" x14ac:dyDescent="0.2">
      <c r="B285" s="65"/>
      <c r="C285" s="66"/>
      <c r="D285" s="66"/>
      <c r="E285" s="67"/>
      <c r="F285" s="67"/>
      <c r="G285" s="67"/>
    </row>
    <row r="286" spans="2:7" x14ac:dyDescent="0.2">
      <c r="B286" s="65"/>
      <c r="C286" s="66"/>
      <c r="D286" s="66"/>
      <c r="E286" s="67"/>
      <c r="F286" s="67"/>
      <c r="G286" s="67"/>
    </row>
    <row r="287" spans="2:7" x14ac:dyDescent="0.2">
      <c r="B287" s="65"/>
      <c r="C287" s="66"/>
      <c r="D287" s="66"/>
      <c r="E287" s="67"/>
      <c r="F287" s="67"/>
      <c r="G287" s="67"/>
    </row>
    <row r="288" spans="2:7" x14ac:dyDescent="0.2">
      <c r="B288" s="65"/>
      <c r="C288" s="66"/>
      <c r="D288" s="66"/>
      <c r="E288" s="67"/>
      <c r="F288" s="67"/>
      <c r="G288" s="67"/>
    </row>
    <row r="289" spans="2:7" x14ac:dyDescent="0.2">
      <c r="B289" s="65"/>
      <c r="C289" s="66"/>
      <c r="D289" s="66"/>
      <c r="E289" s="67"/>
      <c r="F289" s="67"/>
      <c r="G289" s="67"/>
    </row>
    <row r="290" spans="2:7" x14ac:dyDescent="0.2">
      <c r="B290" s="65"/>
      <c r="C290" s="66"/>
      <c r="D290" s="66"/>
      <c r="E290" s="67"/>
      <c r="F290" s="67"/>
      <c r="G290" s="67"/>
    </row>
    <row r="291" spans="2:7" x14ac:dyDescent="0.2">
      <c r="B291" s="65"/>
      <c r="C291" s="66"/>
      <c r="D291" s="66"/>
      <c r="E291" s="67"/>
      <c r="F291" s="67"/>
      <c r="G291" s="67"/>
    </row>
    <row r="292" spans="2:7" x14ac:dyDescent="0.2">
      <c r="B292" s="65"/>
      <c r="C292" s="66"/>
      <c r="D292" s="66"/>
      <c r="E292" s="67"/>
      <c r="F292" s="67"/>
      <c r="G292" s="67"/>
    </row>
    <row r="293" spans="2:7" x14ac:dyDescent="0.2">
      <c r="B293" s="65"/>
      <c r="C293" s="66"/>
      <c r="D293" s="66"/>
      <c r="E293" s="67"/>
      <c r="F293" s="67"/>
      <c r="G293" s="67"/>
    </row>
    <row r="294" spans="2:7" x14ac:dyDescent="0.2">
      <c r="B294" s="65"/>
      <c r="C294" s="66"/>
      <c r="D294" s="66"/>
      <c r="E294" s="67"/>
      <c r="F294" s="67"/>
      <c r="G294" s="67"/>
    </row>
    <row r="295" spans="2:7" x14ac:dyDescent="0.2">
      <c r="B295" s="65"/>
      <c r="C295" s="66"/>
      <c r="D295" s="66"/>
      <c r="E295" s="67"/>
      <c r="F295" s="67"/>
      <c r="G295" s="67"/>
    </row>
    <row r="296" spans="2:7" x14ac:dyDescent="0.2">
      <c r="B296" s="65"/>
      <c r="C296" s="66"/>
      <c r="D296" s="66"/>
      <c r="E296" s="67"/>
      <c r="F296" s="67"/>
      <c r="G296" s="67"/>
    </row>
    <row r="297" spans="2:7" x14ac:dyDescent="0.2">
      <c r="B297" s="65"/>
      <c r="C297" s="66"/>
      <c r="D297" s="66"/>
      <c r="E297" s="67"/>
      <c r="F297" s="67"/>
      <c r="G297" s="67"/>
    </row>
    <row r="298" spans="2:7" x14ac:dyDescent="0.2">
      <c r="B298" s="65"/>
      <c r="C298" s="66"/>
      <c r="D298" s="66"/>
      <c r="E298" s="67"/>
      <c r="F298" s="67"/>
      <c r="G298" s="67"/>
    </row>
    <row r="299" spans="2:7" x14ac:dyDescent="0.2">
      <c r="B299" s="65"/>
      <c r="C299" s="66"/>
      <c r="D299" s="66"/>
      <c r="E299" s="67"/>
      <c r="F299" s="67"/>
      <c r="G299" s="67"/>
    </row>
    <row r="300" spans="2:7" x14ac:dyDescent="0.2">
      <c r="B300" s="65"/>
      <c r="C300" s="66"/>
      <c r="D300" s="66"/>
      <c r="E300" s="67"/>
      <c r="F300" s="67"/>
      <c r="G300" s="67"/>
    </row>
    <row r="301" spans="2:7" x14ac:dyDescent="0.2">
      <c r="B301" s="65"/>
      <c r="C301" s="66"/>
      <c r="D301" s="66"/>
      <c r="E301" s="67"/>
      <c r="F301" s="67"/>
      <c r="G301" s="67"/>
    </row>
    <row r="302" spans="2:7" x14ac:dyDescent="0.2">
      <c r="B302" s="65"/>
      <c r="C302" s="66"/>
      <c r="D302" s="66"/>
      <c r="E302" s="67"/>
      <c r="F302" s="67"/>
      <c r="G302" s="67"/>
    </row>
    <row r="303" spans="2:7" x14ac:dyDescent="0.2">
      <c r="B303" s="65"/>
      <c r="C303" s="66"/>
      <c r="D303" s="66"/>
      <c r="E303" s="67"/>
      <c r="F303" s="67"/>
      <c r="G303" s="67"/>
    </row>
    <row r="304" spans="2:7" x14ac:dyDescent="0.2">
      <c r="B304" s="65"/>
      <c r="C304" s="66"/>
      <c r="D304" s="66"/>
      <c r="E304" s="67"/>
      <c r="F304" s="67"/>
      <c r="G304" s="67"/>
    </row>
    <row r="305" spans="2:7" x14ac:dyDescent="0.2">
      <c r="B305" s="65"/>
      <c r="C305" s="66"/>
      <c r="D305" s="66"/>
      <c r="E305" s="67"/>
      <c r="F305" s="67"/>
      <c r="G305" s="67"/>
    </row>
    <row r="306" spans="2:7" x14ac:dyDescent="0.2">
      <c r="B306" s="65"/>
      <c r="C306" s="66"/>
      <c r="D306" s="66"/>
      <c r="E306" s="67"/>
      <c r="F306" s="67"/>
      <c r="G306" s="67"/>
    </row>
    <row r="307" spans="2:7" x14ac:dyDescent="0.2">
      <c r="B307" s="65"/>
      <c r="C307" s="66"/>
      <c r="D307" s="66"/>
      <c r="E307" s="67"/>
      <c r="F307" s="67"/>
      <c r="G307" s="67"/>
    </row>
    <row r="308" spans="2:7" x14ac:dyDescent="0.2">
      <c r="B308" s="65"/>
      <c r="C308" s="66"/>
      <c r="D308" s="66"/>
      <c r="E308" s="67"/>
      <c r="F308" s="67"/>
      <c r="G308" s="67"/>
    </row>
    <row r="309" spans="2:7" x14ac:dyDescent="0.2">
      <c r="B309" s="65"/>
      <c r="C309" s="66"/>
      <c r="D309" s="66"/>
      <c r="E309" s="67"/>
      <c r="F309" s="67"/>
      <c r="G309" s="67"/>
    </row>
    <row r="310" spans="2:7" x14ac:dyDescent="0.2">
      <c r="B310" s="65"/>
      <c r="C310" s="66"/>
      <c r="D310" s="66"/>
      <c r="E310" s="67"/>
      <c r="F310" s="67"/>
      <c r="G310" s="67"/>
    </row>
    <row r="311" spans="2:7" x14ac:dyDescent="0.2">
      <c r="B311" s="65"/>
      <c r="C311" s="66"/>
      <c r="D311" s="66"/>
      <c r="E311" s="67"/>
      <c r="F311" s="67"/>
      <c r="G311" s="67"/>
    </row>
  </sheetData>
  <customSheetViews>
    <customSheetView guid="{ED2E9B5D-B1ED-CD49-ABAA-552305DDFF96}" scale="108">
      <selection activeCell="G18" sqref="G18"/>
      <pageMargins left="0.7" right="0.7" top="0.75" bottom="0.75" header="0.3" footer="0.3"/>
    </customSheetView>
  </customSheetViews>
  <mergeCells count="2">
    <mergeCell ref="B6:C6"/>
    <mergeCell ref="B10:G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ack">
                <anchor moveWithCells="1" sizeWithCells="1">
                  <from>
                    <xdr:col>5</xdr:col>
                    <xdr:colOff>419100</xdr:colOff>
                    <xdr:row>6</xdr:row>
                    <xdr:rowOff>88900</xdr:rowOff>
                  </from>
                  <to>
                    <xdr:col>7</xdr:col>
                    <xdr:colOff>12700</xdr:colOff>
                    <xdr:row>7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EMI Calculator</vt:lpstr>
      <vt:lpstr>Loan Amortization Schedule</vt:lpstr>
      <vt:lpstr>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Nivas Nag</dc:creator>
  <cp:lastModifiedBy>Office</cp:lastModifiedBy>
  <dcterms:created xsi:type="dcterms:W3CDTF">2023-12-16T09:01:03Z</dcterms:created>
  <dcterms:modified xsi:type="dcterms:W3CDTF">2024-11-01T05:13:28Z</dcterms:modified>
</cp:coreProperties>
</file>