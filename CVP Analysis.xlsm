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vas_MBA/Desktop/Financial Modelling/Submission/"/>
    </mc:Choice>
  </mc:AlternateContent>
  <xr:revisionPtr revIDLastSave="0" documentId="13_ncr:1_{2472015D-CA32-5342-9BA9-17CE933CD472}" xr6:coauthVersionLast="47" xr6:coauthVersionMax="47" xr10:uidLastSave="{00000000-0000-0000-0000-000000000000}"/>
  <bookViews>
    <workbookView xWindow="0" yWindow="740" windowWidth="29400" windowHeight="16280" xr2:uid="{82CE9EC7-D4A9-2B46-9ABA-C2FDC85F4508}"/>
  </bookViews>
  <sheets>
    <sheet name="BEP Accelerator" sheetId="2" r:id="rId1"/>
    <sheet name="Sales Qty Impact on Profit" sheetId="3" r:id="rId2"/>
  </sheets>
  <definedNames>
    <definedName name="solver_eng" localSheetId="1" hidden="1">1</definedName>
    <definedName name="solver_lin" localSheetId="1" hidden="1">2</definedName>
    <definedName name="solver_neg" localSheetId="1" hidden="1">1</definedName>
    <definedName name="solver_num" localSheetId="1" hidden="1">0</definedName>
    <definedName name="solver_opt" localSheetId="1" hidden="1">'Sales Qty Impact on Profit'!$J$10</definedName>
    <definedName name="solver_typ" localSheetId="1" hidden="1">1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3" l="1"/>
  <c r="M10" i="3" s="1"/>
  <c r="N10" i="3" s="1"/>
  <c r="O10" i="3" s="1"/>
  <c r="P10" i="3" s="1"/>
  <c r="Q10" i="3" s="1"/>
  <c r="R10" i="3" s="1"/>
  <c r="J12" i="3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F12" i="3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D9" i="3"/>
  <c r="D21" i="3" s="1"/>
  <c r="D10" i="3"/>
  <c r="D22" i="3" s="1"/>
  <c r="D13" i="3"/>
  <c r="D24" i="3" s="1"/>
  <c r="D23" i="3" l="1"/>
  <c r="D4" i="2"/>
  <c r="D17" i="2"/>
  <c r="D18" i="2"/>
  <c r="D19" i="2"/>
  <c r="D20" i="2"/>
  <c r="D21" i="2"/>
  <c r="D22" i="2"/>
  <c r="D23" i="2"/>
  <c r="D24" i="2"/>
  <c r="D25" i="2"/>
  <c r="D16" i="2"/>
  <c r="D13" i="2"/>
  <c r="C13" i="2"/>
  <c r="B13" i="2"/>
  <c r="E16" i="2"/>
  <c r="C16" i="2"/>
  <c r="E17" i="2"/>
  <c r="E18" i="2"/>
  <c r="E19" i="2"/>
  <c r="E20" i="2"/>
  <c r="E21" i="2"/>
  <c r="E22" i="2"/>
  <c r="E23" i="2"/>
  <c r="E24" i="2"/>
  <c r="E25" i="2"/>
  <c r="C17" i="2"/>
  <c r="C18" i="2"/>
  <c r="C19" i="2"/>
  <c r="C20" i="2"/>
  <c r="C21" i="2"/>
  <c r="C22" i="2"/>
  <c r="C23" i="2"/>
  <c r="C24" i="2"/>
  <c r="C25" i="2"/>
  <c r="D8" i="2" l="1"/>
  <c r="D5" i="2"/>
  <c r="D15" i="3"/>
  <c r="D11" i="3"/>
  <c r="F25" i="2"/>
  <c r="F21" i="2"/>
  <c r="F17" i="2"/>
  <c r="F16" i="2"/>
  <c r="F23" i="2"/>
  <c r="F20" i="2"/>
  <c r="F24" i="2"/>
  <c r="F22" i="2"/>
  <c r="F19" i="2"/>
  <c r="F18" i="2"/>
  <c r="D9" i="2" l="1"/>
  <c r="D16" i="3" s="1"/>
  <c r="D12" i="3"/>
  <c r="D25" i="3"/>
  <c r="G10" i="3" s="1"/>
  <c r="J10" i="3" l="1"/>
</calcChain>
</file>

<file path=xl/sharedStrings.xml><?xml version="1.0" encoding="utf-8"?>
<sst xmlns="http://schemas.openxmlformats.org/spreadsheetml/2006/main" count="36" uniqueCount="25">
  <si>
    <t>Fixed Cost</t>
  </si>
  <si>
    <t>Quantity</t>
  </si>
  <si>
    <t xml:space="preserve">Selling Price/ Unit </t>
  </si>
  <si>
    <t>Total Cost</t>
  </si>
  <si>
    <t>Variable Cost per Unit</t>
  </si>
  <si>
    <t xml:space="preserve">Fixed Cost </t>
  </si>
  <si>
    <t>Revenue</t>
  </si>
  <si>
    <t>Contribution Margin</t>
  </si>
  <si>
    <t>Contribution Margin %</t>
  </si>
  <si>
    <t>BEP (Units)</t>
  </si>
  <si>
    <t>BEP (Sales)</t>
  </si>
  <si>
    <t>Selling Price per Unit</t>
  </si>
  <si>
    <t>Less: Variable Cost/ Unit</t>
  </si>
  <si>
    <t>BEP ACCELERATOR</t>
  </si>
  <si>
    <t>Sales Quantity</t>
  </si>
  <si>
    <t>Sales</t>
  </si>
  <si>
    <t>Profit</t>
  </si>
  <si>
    <t>VARIABLE COST</t>
  </si>
  <si>
    <t>F I X E D  C O S T</t>
  </si>
  <si>
    <t>PROFIT</t>
  </si>
  <si>
    <t>Less: Variable Cost</t>
  </si>
  <si>
    <t>Contribution</t>
  </si>
  <si>
    <t>Less: Fixed Cost</t>
  </si>
  <si>
    <t>Impact on Profit on Changes in Variable Cost</t>
  </si>
  <si>
    <t>Impact on Profit on Changes in VC and 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</si>
</sst>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₹&quot;#,##0_);[Red]\(&quot;₹&quot;#,##0\)"/>
    <numFmt numFmtId="164" formatCode="General\ &quot;units&quot;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000000"/>
      <name val="Times New Roman"/>
      <family val="1"/>
    </font>
    <font>
      <b/>
      <sz val="13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4">
    <xf numFmtId="0" fontId="0" fillId="0" borderId="0" xfId="0"/>
    <xf numFmtId="0" fontId="2" fillId="0" borderId="0" xfId="0" applyFont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0" xfId="0" applyFont="1" applyFill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3" fillId="0" borderId="3" xfId="0" applyFont="1" applyBorder="1" applyAlignment="1">
      <alignment horizontal="center" vertical="center" wrapText="1"/>
    </xf>
    <xf numFmtId="6" fontId="3" fillId="0" borderId="19" xfId="0" applyNumberFormat="1" applyFont="1" applyBorder="1" applyAlignment="1">
      <alignment horizontal="left" vertical="center"/>
    </xf>
    <xf numFmtId="0" fontId="3" fillId="0" borderId="22" xfId="0" applyFont="1" applyBorder="1" applyAlignment="1">
      <alignment horizontal="center" vertical="center" wrapText="1"/>
    </xf>
    <xf numFmtId="6" fontId="3" fillId="0" borderId="30" xfId="0" applyNumberFormat="1" applyFont="1" applyBorder="1" applyAlignment="1">
      <alignment horizontal="left" vertic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6" fontId="2" fillId="0" borderId="9" xfId="0" applyNumberFormat="1" applyFont="1" applyBorder="1"/>
    <xf numFmtId="6" fontId="2" fillId="0" borderId="10" xfId="0" applyNumberFormat="1" applyFont="1" applyBorder="1"/>
    <xf numFmtId="6" fontId="2" fillId="0" borderId="37" xfId="0" applyNumberFormat="1" applyFont="1" applyBorder="1"/>
    <xf numFmtId="6" fontId="2" fillId="0" borderId="38" xfId="0" applyNumberFormat="1" applyFont="1" applyBorder="1"/>
    <xf numFmtId="0" fontId="2" fillId="0" borderId="8" xfId="0" applyFont="1" applyBorder="1" applyAlignment="1">
      <alignment horizontal="center"/>
    </xf>
    <xf numFmtId="6" fontId="2" fillId="0" borderId="8" xfId="0" applyNumberFormat="1" applyFont="1" applyBorder="1"/>
    <xf numFmtId="6" fontId="2" fillId="0" borderId="39" xfId="0" applyNumberFormat="1" applyFont="1" applyBorder="1"/>
    <xf numFmtId="0" fontId="3" fillId="0" borderId="3" xfId="0" applyFont="1" applyBorder="1" applyAlignment="1">
      <alignment horizontal="center" vertical="center"/>
    </xf>
    <xf numFmtId="6" fontId="2" fillId="2" borderId="17" xfId="0" applyNumberFormat="1" applyFont="1" applyFill="1" applyBorder="1"/>
    <xf numFmtId="6" fontId="2" fillId="2" borderId="8" xfId="0" applyNumberFormat="1" applyFont="1" applyFill="1" applyBorder="1"/>
    <xf numFmtId="6" fontId="2" fillId="2" borderId="18" xfId="0" applyNumberFormat="1" applyFont="1" applyFill="1" applyBorder="1"/>
    <xf numFmtId="6" fontId="2" fillId="2" borderId="19" xfId="0" applyNumberFormat="1" applyFont="1" applyFill="1" applyBorder="1"/>
    <xf numFmtId="0" fontId="2" fillId="2" borderId="31" xfId="0" applyFont="1" applyFill="1" applyBorder="1"/>
    <xf numFmtId="0" fontId="2" fillId="2" borderId="34" xfId="0" applyFont="1" applyFill="1" applyBorder="1"/>
    <xf numFmtId="0" fontId="2" fillId="2" borderId="1" xfId="0" applyFont="1" applyFill="1" applyBorder="1"/>
    <xf numFmtId="6" fontId="2" fillId="2" borderId="13" xfId="0" applyNumberFormat="1" applyFont="1" applyFill="1" applyBorder="1"/>
    <xf numFmtId="6" fontId="2" fillId="2" borderId="4" xfId="0" applyNumberFormat="1" applyFont="1" applyFill="1" applyBorder="1"/>
    <xf numFmtId="0" fontId="2" fillId="2" borderId="32" xfId="0" applyFont="1" applyFill="1" applyBorder="1"/>
    <xf numFmtId="164" fontId="2" fillId="2" borderId="33" xfId="0" applyNumberFormat="1" applyFont="1" applyFill="1" applyBorder="1"/>
    <xf numFmtId="6" fontId="2" fillId="2" borderId="6" xfId="0" applyNumberFormat="1" applyFont="1" applyFill="1" applyBorder="1"/>
    <xf numFmtId="6" fontId="2" fillId="2" borderId="33" xfId="0" applyNumberFormat="1" applyFont="1" applyFill="1" applyBorder="1"/>
    <xf numFmtId="9" fontId="2" fillId="2" borderId="13" xfId="1" applyFont="1" applyFill="1" applyBorder="1"/>
    <xf numFmtId="0" fontId="3" fillId="0" borderId="3" xfId="0" applyFont="1" applyBorder="1" applyAlignment="1">
      <alignment horizontal="center"/>
    </xf>
    <xf numFmtId="6" fontId="3" fillId="0" borderId="3" xfId="0" applyNumberFormat="1" applyFont="1" applyBorder="1" applyAlignment="1">
      <alignment horizontal="center"/>
    </xf>
    <xf numFmtId="6" fontId="2" fillId="0" borderId="11" xfId="0" applyNumberFormat="1" applyFont="1" applyBorder="1" applyAlignment="1">
      <alignment horizontal="center"/>
    </xf>
    <xf numFmtId="6" fontId="2" fillId="0" borderId="12" xfId="0" applyNumberFormat="1" applyFont="1" applyBorder="1" applyAlignment="1">
      <alignment horizontal="center"/>
    </xf>
    <xf numFmtId="6" fontId="2" fillId="0" borderId="13" xfId="0" applyNumberFormat="1" applyFont="1" applyBorder="1" applyAlignment="1">
      <alignment horizontal="center"/>
    </xf>
    <xf numFmtId="6" fontId="2" fillId="0" borderId="9" xfId="0" applyNumberFormat="1" applyFont="1" applyBorder="1" applyAlignment="1">
      <alignment horizontal="center"/>
    </xf>
    <xf numFmtId="6" fontId="2" fillId="0" borderId="2" xfId="0" applyNumberFormat="1" applyFont="1" applyBorder="1" applyAlignment="1">
      <alignment horizontal="center"/>
    </xf>
    <xf numFmtId="6" fontId="2" fillId="0" borderId="1" xfId="0" applyNumberFormat="1" applyFont="1" applyBorder="1" applyAlignment="1">
      <alignment horizontal="center"/>
    </xf>
    <xf numFmtId="6" fontId="2" fillId="0" borderId="4" xfId="0" applyNumberFormat="1" applyFont="1" applyBorder="1" applyAlignment="1">
      <alignment horizontal="center"/>
    </xf>
    <xf numFmtId="6" fontId="2" fillId="0" borderId="10" xfId="0" applyNumberFormat="1" applyFont="1" applyBorder="1" applyAlignment="1">
      <alignment horizontal="center"/>
    </xf>
    <xf numFmtId="6" fontId="2" fillId="0" borderId="7" xfId="0" applyNumberFormat="1" applyFont="1" applyBorder="1" applyAlignment="1">
      <alignment horizontal="center"/>
    </xf>
    <xf numFmtId="6" fontId="2" fillId="0" borderId="5" xfId="0" applyNumberFormat="1" applyFont="1" applyBorder="1" applyAlignment="1">
      <alignment horizontal="center"/>
    </xf>
    <xf numFmtId="6" fontId="2" fillId="0" borderId="6" xfId="0" applyNumberFormat="1" applyFont="1" applyBorder="1" applyAlignment="1">
      <alignment horizontal="center"/>
    </xf>
    <xf numFmtId="6" fontId="3" fillId="0" borderId="8" xfId="0" applyNumberFormat="1" applyFont="1" applyBorder="1" applyAlignment="1">
      <alignment horizontal="center"/>
    </xf>
    <xf numFmtId="6" fontId="3" fillId="0" borderId="9" xfId="0" applyNumberFormat="1" applyFont="1" applyBorder="1" applyAlignment="1">
      <alignment horizontal="center"/>
    </xf>
    <xf numFmtId="6" fontId="3" fillId="0" borderId="10" xfId="0" applyNumberFormat="1" applyFont="1" applyBorder="1" applyAlignment="1">
      <alignment horizontal="center"/>
    </xf>
    <xf numFmtId="6" fontId="3" fillId="0" borderId="14" xfId="0" applyNumberFormat="1" applyFont="1" applyBorder="1" applyAlignment="1">
      <alignment horizontal="center"/>
    </xf>
    <xf numFmtId="6" fontId="3" fillId="0" borderId="15" xfId="0" applyNumberFormat="1" applyFont="1" applyBorder="1" applyAlignment="1">
      <alignment horizontal="center"/>
    </xf>
    <xf numFmtId="6" fontId="3" fillId="0" borderId="16" xfId="0" applyNumberFormat="1" applyFont="1" applyBorder="1" applyAlignment="1">
      <alignment horizontal="center"/>
    </xf>
    <xf numFmtId="6" fontId="3" fillId="0" borderId="3" xfId="0" applyNumberFormat="1" applyFont="1" applyBorder="1"/>
    <xf numFmtId="6" fontId="2" fillId="0" borderId="4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6" fontId="3" fillId="0" borderId="40" xfId="0" applyNumberFormat="1" applyFont="1" applyBorder="1" applyAlignment="1">
      <alignment horizontal="center"/>
    </xf>
    <xf numFmtId="6" fontId="3" fillId="0" borderId="41" xfId="0" applyNumberFormat="1" applyFont="1" applyBorder="1" applyAlignment="1">
      <alignment horizontal="center"/>
    </xf>
    <xf numFmtId="6" fontId="3" fillId="0" borderId="42" xfId="0" applyNumberFormat="1" applyFont="1" applyBorder="1" applyAlignment="1">
      <alignment horizontal="center"/>
    </xf>
    <xf numFmtId="0" fontId="3" fillId="0" borderId="3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2" fillId="2" borderId="35" xfId="0" applyFont="1" applyFill="1" applyBorder="1"/>
    <xf numFmtId="0" fontId="2" fillId="2" borderId="5" xfId="0" applyFont="1" applyFill="1" applyBorder="1"/>
    <xf numFmtId="0" fontId="2" fillId="2" borderId="31" xfId="0" applyFont="1" applyFill="1" applyBorder="1"/>
    <xf numFmtId="0" fontId="2" fillId="2" borderId="32" xfId="0" applyFont="1" applyFill="1" applyBorder="1"/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33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5" fillId="0" borderId="17" xfId="0" applyFont="1" applyBorder="1" applyAlignment="1">
      <alignment horizontal="center" vertical="center" textRotation="255"/>
    </xf>
    <xf numFmtId="0" fontId="5" fillId="0" borderId="18" xfId="0" applyFont="1" applyBorder="1" applyAlignment="1">
      <alignment horizontal="center" vertical="center" textRotation="255"/>
    </xf>
    <xf numFmtId="0" fontId="5" fillId="0" borderId="19" xfId="0" applyFont="1" applyBorder="1" applyAlignment="1">
      <alignment horizontal="center" vertical="center" textRotation="255"/>
    </xf>
    <xf numFmtId="0" fontId="2" fillId="2" borderId="23" xfId="0" applyFont="1" applyFill="1" applyBorder="1"/>
    <xf numFmtId="0" fontId="2" fillId="2" borderId="25" xfId="0" applyFont="1" applyFill="1" applyBorder="1"/>
    <xf numFmtId="0" fontId="3" fillId="0" borderId="1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2" fillId="2" borderId="28" xfId="0" applyFont="1" applyFill="1" applyBorder="1"/>
    <xf numFmtId="0" fontId="2" fillId="2" borderId="30" xfId="0" applyFont="1" applyFill="1" applyBorder="1"/>
    <xf numFmtId="0" fontId="3" fillId="0" borderId="20" xfId="0" applyFont="1" applyBorder="1" applyAlignment="1">
      <alignment horizontal="center" wrapText="1"/>
    </xf>
    <xf numFmtId="0" fontId="3" fillId="0" borderId="22" xfId="0" applyFont="1" applyBorder="1" applyAlignment="1">
      <alignment horizontal="center" wrapText="1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36E19"/>
      <color rgb="FFE96A18"/>
      <color rgb="FFE568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800" b="1">
                <a:solidFill>
                  <a:srgbClr val="00206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BREAK EVEN 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'BEP Accelerator'!$C$15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'BEP Accelerator'!$B$16:$B$25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'BEP Accelerator'!$C$16:$C$25</c:f>
              <c:numCache>
                <c:formatCode>"₹"#,##0_);[Red]\("₹"#,##0\)</c:formatCode>
                <c:ptCount val="10"/>
                <c:pt idx="0">
                  <c:v>700</c:v>
                </c:pt>
                <c:pt idx="1">
                  <c:v>1400</c:v>
                </c:pt>
                <c:pt idx="2">
                  <c:v>2100</c:v>
                </c:pt>
                <c:pt idx="3">
                  <c:v>2800</c:v>
                </c:pt>
                <c:pt idx="4">
                  <c:v>3500</c:v>
                </c:pt>
                <c:pt idx="5">
                  <c:v>4200</c:v>
                </c:pt>
                <c:pt idx="6">
                  <c:v>4900</c:v>
                </c:pt>
                <c:pt idx="7">
                  <c:v>5600</c:v>
                </c:pt>
                <c:pt idx="8">
                  <c:v>6300</c:v>
                </c:pt>
                <c:pt idx="9">
                  <c:v>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4-D74B-B9E8-33BD533C6983}"/>
            </c:ext>
          </c:extLst>
        </c:ser>
        <c:ser>
          <c:idx val="3"/>
          <c:order val="1"/>
          <c:tx>
            <c:strRef>
              <c:f>'BEP Accelerator'!$E$15</c:f>
              <c:strCache>
                <c:ptCount val="1"/>
                <c:pt idx="0">
                  <c:v>Fixed Cost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'BEP Accelerator'!$B$16:$B$25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'BEP Accelerator'!$E$16:$E$25</c:f>
              <c:numCache>
                <c:formatCode>"₹"#,##0_);[Red]\("₹"#,##0\)</c:formatCode>
                <c:ptCount val="10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04-D74B-B9E8-33BD533C6983}"/>
            </c:ext>
          </c:extLst>
        </c:ser>
        <c:ser>
          <c:idx val="4"/>
          <c:order val="2"/>
          <c:tx>
            <c:strRef>
              <c:f>'BEP Accelerator'!$F$15</c:f>
              <c:strCache>
                <c:ptCount val="1"/>
                <c:pt idx="0">
                  <c:v>Total Cost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'BEP Accelerator'!$B$16:$B$25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'BEP Accelerator'!$F$16:$F$25</c:f>
              <c:numCache>
                <c:formatCode>"₹"#,##0_);[Red]\("₹"#,##0\)</c:formatCode>
                <c:ptCount val="10"/>
                <c:pt idx="0">
                  <c:v>2300</c:v>
                </c:pt>
                <c:pt idx="1">
                  <c:v>2600</c:v>
                </c:pt>
                <c:pt idx="2">
                  <c:v>2900</c:v>
                </c:pt>
                <c:pt idx="3">
                  <c:v>3200</c:v>
                </c:pt>
                <c:pt idx="4">
                  <c:v>3500</c:v>
                </c:pt>
                <c:pt idx="5">
                  <c:v>3800</c:v>
                </c:pt>
                <c:pt idx="6">
                  <c:v>4100</c:v>
                </c:pt>
                <c:pt idx="7">
                  <c:v>4400</c:v>
                </c:pt>
                <c:pt idx="8">
                  <c:v>4700</c:v>
                </c:pt>
                <c:pt idx="9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04-D74B-B9E8-33BD533C6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6440096"/>
        <c:axId val="2066363344"/>
      </c:lineChart>
      <c:catAx>
        <c:axId val="2066440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Quantity</a:t>
                </a:r>
              </a:p>
            </c:rich>
          </c:tx>
          <c:layout>
            <c:manualLayout>
              <c:xMode val="edge"/>
              <c:yMode val="edge"/>
              <c:x val="0.49096104170491894"/>
              <c:y val="0.913862235243850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66363344"/>
        <c:crosses val="autoZero"/>
        <c:auto val="1"/>
        <c:lblAlgn val="ctr"/>
        <c:lblOffset val="100"/>
        <c:noMultiLvlLbl val="0"/>
      </c:catAx>
      <c:valAx>
        <c:axId val="206636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Amount</a:t>
                </a:r>
              </a:p>
            </c:rich>
          </c:tx>
          <c:layout>
            <c:manualLayout>
              <c:xMode val="edge"/>
              <c:yMode val="edge"/>
              <c:x val="6.3886674094959742E-3"/>
              <c:y val="0.42379814441799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₹&quot;#,##0_);[Red]\(&quot;₹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66440096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95839509031959236"/>
          <c:w val="1"/>
          <c:h val="4.1604909680407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D$3" inc="5" max="100" page="10" val="30"/>
</file>

<file path=xl/ctrlProps/ctrlProp2.xml><?xml version="1.0" encoding="utf-8"?>
<formControlPr xmlns="http://schemas.microsoft.com/office/spreadsheetml/2009/9/main" objectType="Spin" dx="15" fmlaLink="$D$6" inc="500" max="15000" page="10" val="2000"/>
</file>

<file path=xl/ctrlProps/ctrlProp3.xml><?xml version="1.0" encoding="utf-8"?>
<formControlPr xmlns="http://schemas.microsoft.com/office/spreadsheetml/2009/9/main" objectType="Spin" dx="15" fmlaLink="$D$2" inc="5" max="200" page="10" val="70"/>
</file>

<file path=xl/ctrlProps/ctrlProp4.xml><?xml version="1.0" encoding="utf-8"?>
<formControlPr xmlns="http://schemas.microsoft.com/office/spreadsheetml/2009/9/main" objectType="Spin" dx="15" fmlaLink="$D$18" inc="100" max="1000" min="100" page="10" val="300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</xdr:row>
      <xdr:rowOff>25400</xdr:rowOff>
    </xdr:from>
    <xdr:to>
      <xdr:col>17</xdr:col>
      <xdr:colOff>774700</xdr:colOff>
      <xdr:row>25</xdr:row>
      <xdr:rowOff>215900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698500</xdr:colOff>
          <xdr:row>12</xdr:row>
          <xdr:rowOff>76200</xdr:rowOff>
        </xdr:from>
        <xdr:to>
          <xdr:col>2</xdr:col>
          <xdr:colOff>1143000</xdr:colOff>
          <xdr:row>12</xdr:row>
          <xdr:rowOff>622300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12</xdr:row>
          <xdr:rowOff>63500</xdr:rowOff>
        </xdr:from>
        <xdr:to>
          <xdr:col>3</xdr:col>
          <xdr:colOff>1130300</xdr:colOff>
          <xdr:row>12</xdr:row>
          <xdr:rowOff>609600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12</xdr:row>
          <xdr:rowOff>76200</xdr:rowOff>
        </xdr:from>
        <xdr:to>
          <xdr:col>1</xdr:col>
          <xdr:colOff>1143000</xdr:colOff>
          <xdr:row>12</xdr:row>
          <xdr:rowOff>622300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16</xdr:row>
          <xdr:rowOff>228600</xdr:rowOff>
        </xdr:from>
        <xdr:to>
          <xdr:col>4</xdr:col>
          <xdr:colOff>520700</xdr:colOff>
          <xdr:row>19</xdr:row>
          <xdr:rowOff>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215900</xdr:rowOff>
        </xdr:from>
        <xdr:to>
          <xdr:col>4</xdr:col>
          <xdr:colOff>12700</xdr:colOff>
          <xdr:row>7</xdr:row>
          <xdr:rowOff>368300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8CF46-3373-A047-B31C-D3D1530C44B6}">
  <dimension ref="B1:R26"/>
  <sheetViews>
    <sheetView showGridLines="0" tabSelected="1" zoomScale="110" zoomScaleNormal="110" workbookViewId="0">
      <selection activeCell="B11" sqref="B11:D11"/>
    </sheetView>
  </sheetViews>
  <sheetFormatPr baseColWidth="10" defaultRowHeight="18" x14ac:dyDescent="0.2"/>
  <cols>
    <col min="1" max="1" width="5.83203125" style="1" customWidth="1"/>
    <col min="2" max="6" width="15.83203125" style="1" customWidth="1"/>
    <col min="7" max="7" width="6.5" style="1" customWidth="1"/>
    <col min="8" max="16384" width="10.83203125" style="1"/>
  </cols>
  <sheetData>
    <row r="1" spans="2:18" ht="34" customHeight="1" thickBot="1" x14ac:dyDescent="0.25"/>
    <row r="2" spans="2:18" x14ac:dyDescent="0.2">
      <c r="B2" s="29" t="s">
        <v>2</v>
      </c>
      <c r="C2" s="34"/>
      <c r="D2" s="37">
        <v>70</v>
      </c>
      <c r="H2" s="2"/>
      <c r="I2" s="3"/>
      <c r="J2" s="3"/>
      <c r="K2" s="3"/>
      <c r="L2" s="3"/>
      <c r="M2" s="3"/>
      <c r="N2" s="3"/>
      <c r="O2" s="3"/>
      <c r="P2" s="3"/>
      <c r="Q2" s="3"/>
      <c r="R2" s="4"/>
    </row>
    <row r="3" spans="2:18" x14ac:dyDescent="0.2">
      <c r="B3" s="30" t="s">
        <v>12</v>
      </c>
      <c r="C3" s="31"/>
      <c r="D3" s="33">
        <v>30</v>
      </c>
      <c r="H3" s="5"/>
      <c r="I3" s="6"/>
      <c r="J3" s="6"/>
      <c r="K3" s="6"/>
      <c r="L3" s="6"/>
      <c r="M3" s="6"/>
      <c r="N3" s="6"/>
      <c r="O3" s="6"/>
      <c r="P3" s="6"/>
      <c r="Q3" s="6"/>
      <c r="R3" s="7"/>
    </row>
    <row r="4" spans="2:18" x14ac:dyDescent="0.2">
      <c r="B4" s="30" t="s">
        <v>7</v>
      </c>
      <c r="C4" s="31"/>
      <c r="D4" s="33">
        <f>D2-D3</f>
        <v>40</v>
      </c>
      <c r="H4" s="5"/>
      <c r="I4" s="6"/>
      <c r="J4" s="6"/>
      <c r="K4" s="6"/>
      <c r="L4" s="6"/>
      <c r="M4" s="6"/>
      <c r="N4" s="6"/>
      <c r="O4" s="6"/>
      <c r="P4" s="6"/>
      <c r="Q4" s="6"/>
      <c r="R4" s="7"/>
    </row>
    <row r="5" spans="2:18" x14ac:dyDescent="0.2">
      <c r="B5" s="30" t="s">
        <v>8</v>
      </c>
      <c r="C5" s="31"/>
      <c r="D5" s="38">
        <f>D4/D2</f>
        <v>0.5714285714285714</v>
      </c>
      <c r="E5"/>
      <c r="F5"/>
      <c r="G5"/>
      <c r="H5" s="5"/>
      <c r="I5" s="6"/>
      <c r="J5" s="6"/>
      <c r="K5" s="6"/>
      <c r="L5" s="6"/>
      <c r="M5" s="6"/>
      <c r="N5" s="6"/>
      <c r="O5" s="6"/>
      <c r="P5" s="6"/>
      <c r="Q5" s="6"/>
      <c r="R5" s="7"/>
    </row>
    <row r="6" spans="2:18" ht="19" thickBot="1" x14ac:dyDescent="0.25">
      <c r="B6" s="67" t="s">
        <v>0</v>
      </c>
      <c r="C6" s="68"/>
      <c r="D6" s="36">
        <v>2000</v>
      </c>
      <c r="E6"/>
      <c r="F6"/>
      <c r="G6"/>
      <c r="H6" s="5"/>
      <c r="I6" s="6"/>
      <c r="J6" s="6"/>
      <c r="K6" s="6"/>
      <c r="L6" s="6"/>
      <c r="M6" s="6"/>
      <c r="N6" s="6"/>
      <c r="O6" s="6"/>
      <c r="P6" s="6"/>
      <c r="Q6" s="6"/>
      <c r="R6" s="7"/>
    </row>
    <row r="7" spans="2:18" ht="19" thickBot="1" x14ac:dyDescent="0.25">
      <c r="B7"/>
      <c r="C7"/>
      <c r="D7"/>
      <c r="E7"/>
      <c r="F7"/>
      <c r="G7"/>
      <c r="H7" s="5"/>
      <c r="I7" s="6"/>
      <c r="J7" s="6"/>
      <c r="K7" s="6"/>
      <c r="L7" s="6"/>
      <c r="M7" s="6"/>
      <c r="N7" s="6"/>
      <c r="O7" s="6"/>
      <c r="P7" s="6"/>
      <c r="Q7" s="6"/>
      <c r="R7" s="7"/>
    </row>
    <row r="8" spans="2:18" x14ac:dyDescent="0.2">
      <c r="B8" s="69" t="s">
        <v>9</v>
      </c>
      <c r="C8" s="70"/>
      <c r="D8" s="35">
        <f>D6/D4</f>
        <v>50</v>
      </c>
      <c r="E8"/>
      <c r="F8"/>
      <c r="G8"/>
      <c r="H8" s="5"/>
      <c r="I8" s="6"/>
      <c r="J8" s="6"/>
      <c r="K8" s="6"/>
      <c r="L8" s="6"/>
      <c r="M8" s="6"/>
      <c r="N8" s="6"/>
      <c r="O8" s="6"/>
      <c r="P8" s="6"/>
      <c r="Q8" s="6"/>
      <c r="R8" s="7"/>
    </row>
    <row r="9" spans="2:18" ht="19" thickBot="1" x14ac:dyDescent="0.25">
      <c r="B9" s="67" t="s">
        <v>10</v>
      </c>
      <c r="C9" s="68"/>
      <c r="D9" s="36">
        <f>D6/D5</f>
        <v>3500</v>
      </c>
      <c r="H9" s="5"/>
      <c r="I9" s="6"/>
      <c r="J9" s="6"/>
      <c r="K9" s="6"/>
      <c r="L9" s="6"/>
      <c r="M9" s="6"/>
      <c r="N9" s="6"/>
      <c r="O9" s="6"/>
      <c r="P9" s="6"/>
      <c r="Q9" s="6"/>
      <c r="R9" s="7"/>
    </row>
    <row r="10" spans="2:18" ht="19" thickBot="1" x14ac:dyDescent="0.25">
      <c r="H10" s="5"/>
      <c r="I10" s="6"/>
      <c r="J10" s="6"/>
      <c r="K10" s="6"/>
      <c r="L10" s="6"/>
      <c r="M10" s="6"/>
      <c r="N10" s="6"/>
      <c r="O10" s="6"/>
      <c r="P10" s="6"/>
      <c r="Q10" s="6"/>
      <c r="R10" s="7"/>
    </row>
    <row r="11" spans="2:18" ht="27" customHeight="1" thickBot="1" x14ac:dyDescent="0.25">
      <c r="B11" s="64" t="s">
        <v>13</v>
      </c>
      <c r="C11" s="65"/>
      <c r="D11" s="66"/>
      <c r="H11" s="5"/>
      <c r="I11" s="6"/>
      <c r="J11" s="6"/>
      <c r="K11" s="6"/>
      <c r="L11" s="6"/>
      <c r="M11" s="6"/>
      <c r="N11" s="6"/>
      <c r="O11" s="6"/>
      <c r="P11" s="6"/>
      <c r="Q11" s="6"/>
      <c r="R11" s="7"/>
    </row>
    <row r="12" spans="2:18" ht="39" thickBot="1" x14ac:dyDescent="0.25">
      <c r="B12" s="11" t="s">
        <v>11</v>
      </c>
      <c r="C12" s="11" t="s">
        <v>4</v>
      </c>
      <c r="D12" s="13" t="s">
        <v>0</v>
      </c>
      <c r="H12" s="5"/>
      <c r="I12" s="6"/>
      <c r="J12" s="6"/>
      <c r="K12" s="6"/>
      <c r="L12" s="6"/>
      <c r="M12" s="6"/>
      <c r="N12" s="6"/>
      <c r="O12" s="6"/>
      <c r="P12" s="6"/>
      <c r="Q12" s="6"/>
      <c r="R12" s="7"/>
    </row>
    <row r="13" spans="2:18" ht="54" customHeight="1" thickBot="1" x14ac:dyDescent="0.25">
      <c r="B13" s="12">
        <f>D2</f>
        <v>70</v>
      </c>
      <c r="C13" s="12">
        <f>D3</f>
        <v>30</v>
      </c>
      <c r="D13" s="14">
        <f>D6</f>
        <v>2000</v>
      </c>
      <c r="H13" s="5"/>
      <c r="I13" s="6"/>
      <c r="J13" s="6"/>
      <c r="K13" s="6"/>
      <c r="L13" s="6"/>
      <c r="M13" s="6"/>
      <c r="N13" s="6"/>
      <c r="O13" s="6"/>
      <c r="P13" s="6"/>
      <c r="Q13" s="6"/>
      <c r="R13" s="7"/>
    </row>
    <row r="14" spans="2:18" ht="19" thickBot="1" x14ac:dyDescent="0.25">
      <c r="H14" s="5"/>
      <c r="I14" s="6"/>
      <c r="J14" s="6"/>
      <c r="K14" s="6"/>
      <c r="L14" s="6"/>
      <c r="M14" s="6"/>
      <c r="N14" s="6"/>
      <c r="O14" s="6"/>
      <c r="P14" s="6"/>
      <c r="Q14" s="6"/>
      <c r="R14" s="7"/>
    </row>
    <row r="15" spans="2:18" ht="46" customHeight="1" thickBot="1" x14ac:dyDescent="0.25">
      <c r="B15" s="24" t="s">
        <v>1</v>
      </c>
      <c r="C15" s="11" t="s">
        <v>6</v>
      </c>
      <c r="D15" s="11" t="s">
        <v>4</v>
      </c>
      <c r="E15" s="11" t="s">
        <v>5</v>
      </c>
      <c r="F15" s="13" t="s">
        <v>3</v>
      </c>
      <c r="H15" s="5"/>
      <c r="I15" s="6"/>
      <c r="J15" s="6"/>
      <c r="K15" s="6"/>
      <c r="L15" s="6"/>
      <c r="M15" s="6"/>
      <c r="N15" s="6"/>
      <c r="O15" s="6"/>
      <c r="P15" s="6"/>
      <c r="Q15" s="6"/>
      <c r="R15" s="7"/>
    </row>
    <row r="16" spans="2:18" x14ac:dyDescent="0.2">
      <c r="B16" s="21">
        <v>10</v>
      </c>
      <c r="C16" s="22">
        <f t="shared" ref="C16:C25" si="0">B16*$D$2</f>
        <v>700</v>
      </c>
      <c r="D16" s="22">
        <f t="shared" ref="D16:D25" si="1">ABS(B16*$D$3)</f>
        <v>300</v>
      </c>
      <c r="E16" s="22">
        <f t="shared" ref="E16:E25" si="2">$D$6</f>
        <v>2000</v>
      </c>
      <c r="F16" s="23">
        <f t="shared" ref="F16:F25" si="3">D16+E16</f>
        <v>2300</v>
      </c>
      <c r="H16" s="5"/>
      <c r="I16" s="6"/>
      <c r="J16" s="6"/>
      <c r="K16" s="6"/>
      <c r="L16" s="6"/>
      <c r="M16" s="6"/>
      <c r="N16" s="6"/>
      <c r="O16" s="6"/>
      <c r="P16" s="6"/>
      <c r="Q16" s="6"/>
      <c r="R16" s="7"/>
    </row>
    <row r="17" spans="2:18" x14ac:dyDescent="0.2">
      <c r="B17" s="15">
        <v>20</v>
      </c>
      <c r="C17" s="17">
        <f t="shared" si="0"/>
        <v>1400</v>
      </c>
      <c r="D17" s="17">
        <f t="shared" si="1"/>
        <v>600</v>
      </c>
      <c r="E17" s="17">
        <f t="shared" si="2"/>
        <v>2000</v>
      </c>
      <c r="F17" s="19">
        <f t="shared" si="3"/>
        <v>2600</v>
      </c>
      <c r="H17" s="5"/>
      <c r="I17" s="6"/>
      <c r="J17" s="6"/>
      <c r="K17" s="6"/>
      <c r="L17" s="6"/>
      <c r="M17" s="6"/>
      <c r="N17" s="6"/>
      <c r="O17" s="6"/>
      <c r="P17" s="6"/>
      <c r="Q17" s="6"/>
      <c r="R17" s="7"/>
    </row>
    <row r="18" spans="2:18" x14ac:dyDescent="0.2">
      <c r="B18" s="15">
        <v>30</v>
      </c>
      <c r="C18" s="17">
        <f t="shared" si="0"/>
        <v>2100</v>
      </c>
      <c r="D18" s="17">
        <f t="shared" si="1"/>
        <v>900</v>
      </c>
      <c r="E18" s="17">
        <f t="shared" si="2"/>
        <v>2000</v>
      </c>
      <c r="F18" s="19">
        <f t="shared" si="3"/>
        <v>2900</v>
      </c>
      <c r="H18" s="5"/>
      <c r="I18" s="6"/>
      <c r="J18" s="6"/>
      <c r="K18" s="6"/>
      <c r="L18" s="6"/>
      <c r="M18" s="6"/>
      <c r="N18" s="6"/>
      <c r="O18" s="6"/>
      <c r="P18" s="6"/>
      <c r="Q18" s="6"/>
      <c r="R18" s="7"/>
    </row>
    <row r="19" spans="2:18" x14ac:dyDescent="0.2">
      <c r="B19" s="15">
        <v>40</v>
      </c>
      <c r="C19" s="17">
        <f t="shared" si="0"/>
        <v>2800</v>
      </c>
      <c r="D19" s="17">
        <f t="shared" si="1"/>
        <v>1200</v>
      </c>
      <c r="E19" s="17">
        <f t="shared" si="2"/>
        <v>2000</v>
      </c>
      <c r="F19" s="19">
        <f t="shared" si="3"/>
        <v>3200</v>
      </c>
      <c r="H19" s="5"/>
      <c r="I19" s="6"/>
      <c r="J19" s="6"/>
      <c r="K19" s="6"/>
      <c r="L19" s="6"/>
      <c r="M19" s="6"/>
      <c r="N19" s="6"/>
      <c r="O19" s="6"/>
      <c r="P19" s="6"/>
      <c r="Q19" s="6"/>
      <c r="R19" s="7"/>
    </row>
    <row r="20" spans="2:18" x14ac:dyDescent="0.2">
      <c r="B20" s="15">
        <v>50</v>
      </c>
      <c r="C20" s="17">
        <f t="shared" si="0"/>
        <v>3500</v>
      </c>
      <c r="D20" s="17">
        <f t="shared" si="1"/>
        <v>1500</v>
      </c>
      <c r="E20" s="17">
        <f t="shared" si="2"/>
        <v>2000</v>
      </c>
      <c r="F20" s="19">
        <f t="shared" si="3"/>
        <v>3500</v>
      </c>
      <c r="H20" s="5"/>
      <c r="I20" s="6"/>
      <c r="J20" s="6"/>
      <c r="K20" s="6"/>
      <c r="L20" s="6"/>
      <c r="M20" s="6"/>
      <c r="N20" s="6"/>
      <c r="O20" s="6"/>
      <c r="P20" s="6"/>
      <c r="Q20" s="6"/>
      <c r="R20" s="7"/>
    </row>
    <row r="21" spans="2:18" x14ac:dyDescent="0.2">
      <c r="B21" s="15">
        <v>60</v>
      </c>
      <c r="C21" s="17">
        <f t="shared" si="0"/>
        <v>4200</v>
      </c>
      <c r="D21" s="17">
        <f t="shared" si="1"/>
        <v>1800</v>
      </c>
      <c r="E21" s="17">
        <f t="shared" si="2"/>
        <v>2000</v>
      </c>
      <c r="F21" s="19">
        <f t="shared" si="3"/>
        <v>3800</v>
      </c>
      <c r="H21" s="5"/>
      <c r="I21" s="6"/>
      <c r="J21" s="6"/>
      <c r="K21" s="6"/>
      <c r="L21" s="6"/>
      <c r="M21" s="6"/>
      <c r="N21" s="6"/>
      <c r="O21" s="6"/>
      <c r="P21" s="6"/>
      <c r="Q21" s="6"/>
      <c r="R21" s="7"/>
    </row>
    <row r="22" spans="2:18" x14ac:dyDescent="0.2">
      <c r="B22" s="15">
        <v>70</v>
      </c>
      <c r="C22" s="17">
        <f t="shared" si="0"/>
        <v>4900</v>
      </c>
      <c r="D22" s="17">
        <f t="shared" si="1"/>
        <v>2100</v>
      </c>
      <c r="E22" s="17">
        <f t="shared" si="2"/>
        <v>2000</v>
      </c>
      <c r="F22" s="19">
        <f t="shared" si="3"/>
        <v>4100</v>
      </c>
      <c r="H22" s="5"/>
      <c r="I22" s="6"/>
      <c r="J22" s="6"/>
      <c r="K22" s="6"/>
      <c r="L22" s="6"/>
      <c r="M22" s="6"/>
      <c r="N22" s="6"/>
      <c r="O22" s="6"/>
      <c r="P22" s="6"/>
      <c r="Q22" s="6"/>
      <c r="R22" s="7"/>
    </row>
    <row r="23" spans="2:18" x14ac:dyDescent="0.2">
      <c r="B23" s="15">
        <v>80</v>
      </c>
      <c r="C23" s="17">
        <f t="shared" si="0"/>
        <v>5600</v>
      </c>
      <c r="D23" s="17">
        <f t="shared" si="1"/>
        <v>2400</v>
      </c>
      <c r="E23" s="17">
        <f t="shared" si="2"/>
        <v>2000</v>
      </c>
      <c r="F23" s="19">
        <f t="shared" si="3"/>
        <v>4400</v>
      </c>
      <c r="H23" s="5"/>
      <c r="I23" s="6"/>
      <c r="J23" s="6"/>
      <c r="K23" s="6"/>
      <c r="L23" s="6"/>
      <c r="M23" s="6"/>
      <c r="N23" s="6"/>
      <c r="O23" s="6"/>
      <c r="P23" s="6"/>
      <c r="Q23" s="6"/>
      <c r="R23" s="7"/>
    </row>
    <row r="24" spans="2:18" x14ac:dyDescent="0.2">
      <c r="B24" s="15">
        <v>90</v>
      </c>
      <c r="C24" s="17">
        <f t="shared" si="0"/>
        <v>6300</v>
      </c>
      <c r="D24" s="17">
        <f t="shared" si="1"/>
        <v>2700</v>
      </c>
      <c r="E24" s="17">
        <f t="shared" si="2"/>
        <v>2000</v>
      </c>
      <c r="F24" s="19">
        <f t="shared" si="3"/>
        <v>4700</v>
      </c>
      <c r="H24" s="5"/>
      <c r="I24" s="6"/>
      <c r="J24" s="6"/>
      <c r="K24" s="6"/>
      <c r="L24" s="6"/>
      <c r="M24" s="6"/>
      <c r="N24" s="6"/>
      <c r="O24" s="6"/>
      <c r="P24" s="6"/>
      <c r="Q24" s="6"/>
      <c r="R24" s="7"/>
    </row>
    <row r="25" spans="2:18" ht="19" thickBot="1" x14ac:dyDescent="0.25">
      <c r="B25" s="16">
        <v>100</v>
      </c>
      <c r="C25" s="18">
        <f t="shared" si="0"/>
        <v>7000</v>
      </c>
      <c r="D25" s="18">
        <f t="shared" si="1"/>
        <v>3000</v>
      </c>
      <c r="E25" s="18">
        <f t="shared" si="2"/>
        <v>2000</v>
      </c>
      <c r="F25" s="20">
        <f t="shared" si="3"/>
        <v>5000</v>
      </c>
      <c r="H25" s="5"/>
      <c r="I25" s="6"/>
      <c r="J25" s="6"/>
      <c r="K25" s="6"/>
      <c r="L25" s="6"/>
      <c r="M25" s="6"/>
      <c r="N25" s="6"/>
      <c r="O25" s="6"/>
      <c r="P25" s="6"/>
      <c r="Q25" s="6"/>
      <c r="R25" s="7"/>
    </row>
    <row r="26" spans="2:18" ht="19" thickBot="1" x14ac:dyDescent="0.25">
      <c r="H26" s="8"/>
      <c r="I26" s="9"/>
      <c r="J26" s="9"/>
      <c r="K26" s="9"/>
      <c r="L26" s="9"/>
      <c r="M26" s="9"/>
      <c r="N26" s="9"/>
      <c r="O26" s="9"/>
      <c r="P26" s="9"/>
      <c r="Q26" s="9"/>
      <c r="R26" s="10"/>
    </row>
  </sheetData>
  <mergeCells count="4">
    <mergeCell ref="B11:D11"/>
    <mergeCell ref="B6:C6"/>
    <mergeCell ref="B8:C8"/>
    <mergeCell ref="B9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2</xdr:col>
                    <xdr:colOff>698500</xdr:colOff>
                    <xdr:row>12</xdr:row>
                    <xdr:rowOff>76200</xdr:rowOff>
                  </from>
                  <to>
                    <xdr:col>2</xdr:col>
                    <xdr:colOff>1143000</xdr:colOff>
                    <xdr:row>12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Spinner 3">
              <controlPr defaultSize="0" autoPict="0">
                <anchor moveWithCells="1" sizeWithCells="1">
                  <from>
                    <xdr:col>3</xdr:col>
                    <xdr:colOff>685800</xdr:colOff>
                    <xdr:row>12</xdr:row>
                    <xdr:rowOff>63500</xdr:rowOff>
                  </from>
                  <to>
                    <xdr:col>3</xdr:col>
                    <xdr:colOff>1130300</xdr:colOff>
                    <xdr:row>12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pinner 4">
              <controlPr defaultSize="0" autoPict="0">
                <anchor moveWithCells="1" sizeWithCells="1">
                  <from>
                    <xdr:col>1</xdr:col>
                    <xdr:colOff>698500</xdr:colOff>
                    <xdr:row>12</xdr:row>
                    <xdr:rowOff>76200</xdr:rowOff>
                  </from>
                  <to>
                    <xdr:col>1</xdr:col>
                    <xdr:colOff>1143000</xdr:colOff>
                    <xdr:row>12</xdr:row>
                    <xdr:rowOff>622300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9C630-CD93-1743-9F28-BB0DF8E9B135}">
  <dimension ref="B7:R25"/>
  <sheetViews>
    <sheetView showGridLines="0" zoomScale="110" zoomScaleNormal="110" workbookViewId="0">
      <selection activeCell="J10" sqref="J10"/>
    </sheetView>
  </sheetViews>
  <sheetFormatPr baseColWidth="10" defaultRowHeight="18" x14ac:dyDescent="0.2"/>
  <cols>
    <col min="1" max="1" width="5.83203125" style="1" customWidth="1"/>
    <col min="2" max="2" width="10.83203125" style="1" customWidth="1"/>
    <col min="3" max="3" width="17.33203125" style="1" customWidth="1"/>
    <col min="4" max="5" width="10.83203125" style="1"/>
    <col min="6" max="6" width="14.6640625" style="1" customWidth="1"/>
    <col min="7" max="7" width="11.5" style="1" bestFit="1" customWidth="1"/>
    <col min="8" max="8" width="10.83203125" style="1" customWidth="1"/>
    <col min="9" max="9" width="10.83203125" style="1"/>
    <col min="10" max="10" width="11.5" style="1" bestFit="1" customWidth="1"/>
    <col min="11" max="18" width="11.6640625" style="1" bestFit="1" customWidth="1"/>
    <col min="19" max="16384" width="10.83203125" style="1"/>
  </cols>
  <sheetData>
    <row r="7" spans="2:18" ht="19" thickBot="1" x14ac:dyDescent="0.25"/>
    <row r="8" spans="2:18" ht="38" customHeight="1" thickBot="1" x14ac:dyDescent="0.25">
      <c r="F8" s="92" t="s">
        <v>23</v>
      </c>
      <c r="G8" s="93"/>
      <c r="I8" s="71" t="s">
        <v>24</v>
      </c>
      <c r="J8" s="72"/>
      <c r="K8" s="72"/>
      <c r="L8" s="72"/>
      <c r="M8" s="72"/>
      <c r="N8" s="72"/>
      <c r="O8" s="72"/>
      <c r="P8" s="72"/>
      <c r="Q8" s="72"/>
      <c r="R8" s="73"/>
    </row>
    <row r="9" spans="2:18" ht="19" thickBot="1" x14ac:dyDescent="0.25">
      <c r="B9" s="29" t="s">
        <v>2</v>
      </c>
      <c r="C9" s="34"/>
      <c r="D9" s="37">
        <f>'BEP Accelerator'!D2</f>
        <v>70</v>
      </c>
      <c r="F9" s="88" t="s">
        <v>17</v>
      </c>
      <c r="G9" s="39" t="s">
        <v>19</v>
      </c>
      <c r="I9" s="60"/>
      <c r="K9" s="74" t="s">
        <v>18</v>
      </c>
      <c r="L9" s="75"/>
      <c r="M9" s="75"/>
      <c r="N9" s="75"/>
      <c r="O9" s="75"/>
      <c r="P9" s="75"/>
      <c r="Q9" s="75"/>
      <c r="R9" s="76"/>
    </row>
    <row r="10" spans="2:18" ht="19" thickBot="1" x14ac:dyDescent="0.25">
      <c r="B10" s="30" t="s">
        <v>12</v>
      </c>
      <c r="C10" s="31"/>
      <c r="D10" s="33">
        <f>'BEP Accelerator'!D3</f>
        <v>30</v>
      </c>
      <c r="F10" s="89"/>
      <c r="G10" s="58">
        <f>D25</f>
        <v>10000</v>
      </c>
      <c r="I10" s="39" t="s">
        <v>19</v>
      </c>
      <c r="J10" s="40">
        <f>D25</f>
        <v>10000</v>
      </c>
      <c r="K10" s="55">
        <v>2000</v>
      </c>
      <c r="L10" s="56">
        <f>K10+200</f>
        <v>2200</v>
      </c>
      <c r="M10" s="56">
        <f t="shared" ref="M10:R10" si="0">L10+200</f>
        <v>2400</v>
      </c>
      <c r="N10" s="56">
        <f t="shared" si="0"/>
        <v>2600</v>
      </c>
      <c r="O10" s="56">
        <f t="shared" si="0"/>
        <v>2800</v>
      </c>
      <c r="P10" s="56">
        <f t="shared" si="0"/>
        <v>3000</v>
      </c>
      <c r="Q10" s="56">
        <f t="shared" si="0"/>
        <v>3200</v>
      </c>
      <c r="R10" s="57">
        <f t="shared" si="0"/>
        <v>3400</v>
      </c>
    </row>
    <row r="11" spans="2:18" ht="18" customHeight="1" x14ac:dyDescent="0.2">
      <c r="B11" s="30" t="s">
        <v>7</v>
      </c>
      <c r="C11" s="31"/>
      <c r="D11" s="32">
        <f>'BEP Accelerator'!D4</f>
        <v>40</v>
      </c>
      <c r="F11" s="61">
        <v>30</v>
      </c>
      <c r="G11" s="59">
        <f t="dataTable" ref="G11:G23" dt2D="0" dtr="0" r1="D10"/>
        <v>10000</v>
      </c>
      <c r="I11" s="83" t="s">
        <v>17</v>
      </c>
      <c r="J11" s="52">
        <v>30</v>
      </c>
      <c r="K11" s="41">
        <f t="dataTable" ref="K11:R23" dt2D="1" dtr="1" r1="D13" r2="D10" ca="1"/>
        <v>10000</v>
      </c>
      <c r="L11" s="42">
        <v>9800</v>
      </c>
      <c r="M11" s="42">
        <v>9600</v>
      </c>
      <c r="N11" s="42">
        <v>9400</v>
      </c>
      <c r="O11" s="42">
        <v>9200</v>
      </c>
      <c r="P11" s="42">
        <v>9000</v>
      </c>
      <c r="Q11" s="42">
        <v>8800</v>
      </c>
      <c r="R11" s="43">
        <v>8600</v>
      </c>
    </row>
    <row r="12" spans="2:18" x14ac:dyDescent="0.2">
      <c r="B12" s="30" t="s">
        <v>8</v>
      </c>
      <c r="C12" s="31"/>
      <c r="D12" s="32">
        <f>'BEP Accelerator'!D5</f>
        <v>0.5714285714285714</v>
      </c>
      <c r="F12" s="62">
        <f>F11+1</f>
        <v>31</v>
      </c>
      <c r="G12" s="44">
        <v>9700</v>
      </c>
      <c r="I12" s="84"/>
      <c r="J12" s="53">
        <f>J11+1</f>
        <v>31</v>
      </c>
      <c r="K12" s="45">
        <v>9700</v>
      </c>
      <c r="L12" s="46">
        <v>9500</v>
      </c>
      <c r="M12" s="46">
        <v>9300</v>
      </c>
      <c r="N12" s="46">
        <v>9100</v>
      </c>
      <c r="O12" s="46">
        <v>8900</v>
      </c>
      <c r="P12" s="46">
        <v>8700</v>
      </c>
      <c r="Q12" s="46">
        <v>8500</v>
      </c>
      <c r="R12" s="47">
        <v>8300</v>
      </c>
    </row>
    <row r="13" spans="2:18" ht="19" thickBot="1" x14ac:dyDescent="0.25">
      <c r="B13" s="67" t="s">
        <v>0</v>
      </c>
      <c r="C13" s="68"/>
      <c r="D13" s="36">
        <f>'BEP Accelerator'!D6</f>
        <v>2000</v>
      </c>
      <c r="F13" s="62">
        <f t="shared" ref="F13:F23" si="1">F12+1</f>
        <v>32</v>
      </c>
      <c r="G13" s="44">
        <v>9400</v>
      </c>
      <c r="I13" s="84"/>
      <c r="J13" s="53">
        <f t="shared" ref="J13:J23" si="2">J12+1</f>
        <v>32</v>
      </c>
      <c r="K13" s="45">
        <v>9400</v>
      </c>
      <c r="L13" s="46">
        <v>9200</v>
      </c>
      <c r="M13" s="46">
        <v>9000</v>
      </c>
      <c r="N13" s="46">
        <v>8800</v>
      </c>
      <c r="O13" s="46">
        <v>8600</v>
      </c>
      <c r="P13" s="46">
        <v>8400</v>
      </c>
      <c r="Q13" s="46">
        <v>8200</v>
      </c>
      <c r="R13" s="47">
        <v>8000</v>
      </c>
    </row>
    <row r="14" spans="2:18" ht="19" thickBot="1" x14ac:dyDescent="0.25">
      <c r="B14"/>
      <c r="C14"/>
      <c r="D14"/>
      <c r="F14" s="62">
        <f t="shared" si="1"/>
        <v>33</v>
      </c>
      <c r="G14" s="44">
        <v>9100</v>
      </c>
      <c r="I14" s="84"/>
      <c r="J14" s="53">
        <f t="shared" si="2"/>
        <v>33</v>
      </c>
      <c r="K14" s="45">
        <v>9100</v>
      </c>
      <c r="L14" s="46">
        <v>8900</v>
      </c>
      <c r="M14" s="46">
        <v>8700</v>
      </c>
      <c r="N14" s="46">
        <v>8500</v>
      </c>
      <c r="O14" s="46">
        <v>8300</v>
      </c>
      <c r="P14" s="46">
        <v>8100</v>
      </c>
      <c r="Q14" s="46">
        <v>7900</v>
      </c>
      <c r="R14" s="47">
        <v>7700</v>
      </c>
    </row>
    <row r="15" spans="2:18" x14ac:dyDescent="0.2">
      <c r="B15" s="69" t="s">
        <v>9</v>
      </c>
      <c r="C15" s="70"/>
      <c r="D15" s="37">
        <f>'BEP Accelerator'!D8</f>
        <v>50</v>
      </c>
      <c r="F15" s="62">
        <f t="shared" si="1"/>
        <v>34</v>
      </c>
      <c r="G15" s="44">
        <v>8800</v>
      </c>
      <c r="I15" s="84"/>
      <c r="J15" s="53">
        <f t="shared" si="2"/>
        <v>34</v>
      </c>
      <c r="K15" s="45">
        <v>8800</v>
      </c>
      <c r="L15" s="46">
        <v>8600</v>
      </c>
      <c r="M15" s="46">
        <v>8400</v>
      </c>
      <c r="N15" s="46">
        <v>8200</v>
      </c>
      <c r="O15" s="46">
        <v>8000</v>
      </c>
      <c r="P15" s="46">
        <v>7800</v>
      </c>
      <c r="Q15" s="46">
        <v>7600</v>
      </c>
      <c r="R15" s="47">
        <v>7400</v>
      </c>
    </row>
    <row r="16" spans="2:18" ht="19" thickBot="1" x14ac:dyDescent="0.25">
      <c r="B16" s="67" t="s">
        <v>10</v>
      </c>
      <c r="C16" s="68"/>
      <c r="D16" s="36">
        <f>'BEP Accelerator'!D9</f>
        <v>3500</v>
      </c>
      <c r="F16" s="62">
        <f t="shared" si="1"/>
        <v>35</v>
      </c>
      <c r="G16" s="44">
        <v>8500</v>
      </c>
      <c r="I16" s="84"/>
      <c r="J16" s="53">
        <f t="shared" si="2"/>
        <v>35</v>
      </c>
      <c r="K16" s="45">
        <v>8500</v>
      </c>
      <c r="L16" s="46">
        <v>8300</v>
      </c>
      <c r="M16" s="46">
        <v>8100</v>
      </c>
      <c r="N16" s="46">
        <v>7900</v>
      </c>
      <c r="O16" s="46">
        <v>7700</v>
      </c>
      <c r="P16" s="46">
        <v>7500</v>
      </c>
      <c r="Q16" s="46">
        <v>7300</v>
      </c>
      <c r="R16" s="47">
        <v>7100</v>
      </c>
    </row>
    <row r="17" spans="2:18" ht="19" thickBot="1" x14ac:dyDescent="0.25">
      <c r="B17"/>
      <c r="C17"/>
      <c r="D17"/>
      <c r="F17" s="62">
        <f t="shared" si="1"/>
        <v>36</v>
      </c>
      <c r="G17" s="44">
        <v>8200</v>
      </c>
      <c r="I17" s="84"/>
      <c r="J17" s="53">
        <f>J16+1</f>
        <v>36</v>
      </c>
      <c r="K17" s="45">
        <v>8200</v>
      </c>
      <c r="L17" s="46">
        <v>8000</v>
      </c>
      <c r="M17" s="46">
        <v>7800</v>
      </c>
      <c r="N17" s="46">
        <v>7600</v>
      </c>
      <c r="O17" s="46">
        <v>7400</v>
      </c>
      <c r="P17" s="46">
        <v>7200</v>
      </c>
      <c r="Q17" s="46">
        <v>7000</v>
      </c>
      <c r="R17" s="47">
        <v>6800</v>
      </c>
    </row>
    <row r="18" spans="2:18" x14ac:dyDescent="0.2">
      <c r="B18" s="77" t="s">
        <v>14</v>
      </c>
      <c r="C18" s="78"/>
      <c r="D18" s="81">
        <v>300</v>
      </c>
      <c r="F18" s="62">
        <f t="shared" si="1"/>
        <v>37</v>
      </c>
      <c r="G18" s="44">
        <v>7900</v>
      </c>
      <c r="I18" s="84"/>
      <c r="J18" s="53">
        <f t="shared" si="2"/>
        <v>37</v>
      </c>
      <c r="K18" s="45">
        <v>7900</v>
      </c>
      <c r="L18" s="46">
        <v>7700</v>
      </c>
      <c r="M18" s="46">
        <v>7500</v>
      </c>
      <c r="N18" s="46">
        <v>7300</v>
      </c>
      <c r="O18" s="46">
        <v>7100</v>
      </c>
      <c r="P18" s="46">
        <v>6900</v>
      </c>
      <c r="Q18" s="46">
        <v>6700</v>
      </c>
      <c r="R18" s="47">
        <v>6500</v>
      </c>
    </row>
    <row r="19" spans="2:18" ht="19" thickBot="1" x14ac:dyDescent="0.25">
      <c r="B19" s="79"/>
      <c r="C19" s="80"/>
      <c r="D19" s="82"/>
      <c r="F19" s="62">
        <f t="shared" si="1"/>
        <v>38</v>
      </c>
      <c r="G19" s="44">
        <v>7600</v>
      </c>
      <c r="I19" s="84"/>
      <c r="J19" s="53">
        <f t="shared" si="2"/>
        <v>38</v>
      </c>
      <c r="K19" s="45">
        <v>7600</v>
      </c>
      <c r="L19" s="46">
        <v>7400</v>
      </c>
      <c r="M19" s="46">
        <v>7200</v>
      </c>
      <c r="N19" s="46">
        <v>7000</v>
      </c>
      <c r="O19" s="46">
        <v>6800</v>
      </c>
      <c r="P19" s="46">
        <v>6600</v>
      </c>
      <c r="Q19" s="46">
        <v>6400</v>
      </c>
      <c r="R19" s="47">
        <v>6200</v>
      </c>
    </row>
    <row r="20" spans="2:18" ht="19" thickBot="1" x14ac:dyDescent="0.25">
      <c r="F20" s="62">
        <f t="shared" si="1"/>
        <v>39</v>
      </c>
      <c r="G20" s="44">
        <v>7300</v>
      </c>
      <c r="I20" s="84"/>
      <c r="J20" s="53">
        <f t="shared" si="2"/>
        <v>39</v>
      </c>
      <c r="K20" s="45">
        <v>7300</v>
      </c>
      <c r="L20" s="46">
        <v>7100</v>
      </c>
      <c r="M20" s="46">
        <v>6900</v>
      </c>
      <c r="N20" s="46">
        <v>6700</v>
      </c>
      <c r="O20" s="46">
        <v>6500</v>
      </c>
      <c r="P20" s="46">
        <v>6300</v>
      </c>
      <c r="Q20" s="46">
        <v>6100</v>
      </c>
      <c r="R20" s="47">
        <v>5900</v>
      </c>
    </row>
    <row r="21" spans="2:18" x14ac:dyDescent="0.2">
      <c r="B21" s="86" t="s">
        <v>15</v>
      </c>
      <c r="C21" s="87"/>
      <c r="D21" s="25">
        <f>D18*D9</f>
        <v>21000</v>
      </c>
      <c r="F21" s="62">
        <f t="shared" si="1"/>
        <v>40</v>
      </c>
      <c r="G21" s="44">
        <v>7000</v>
      </c>
      <c r="I21" s="84"/>
      <c r="J21" s="53">
        <f t="shared" si="2"/>
        <v>40</v>
      </c>
      <c r="K21" s="45">
        <v>7000</v>
      </c>
      <c r="L21" s="46">
        <v>6800</v>
      </c>
      <c r="M21" s="46">
        <v>6600</v>
      </c>
      <c r="N21" s="46">
        <v>6400</v>
      </c>
      <c r="O21" s="46">
        <v>6200</v>
      </c>
      <c r="P21" s="46">
        <v>6000</v>
      </c>
      <c r="Q21" s="46">
        <v>5800</v>
      </c>
      <c r="R21" s="47">
        <v>5600</v>
      </c>
    </row>
    <row r="22" spans="2:18" x14ac:dyDescent="0.2">
      <c r="B22" s="5" t="s">
        <v>20</v>
      </c>
      <c r="C22" s="6"/>
      <c r="D22" s="26">
        <f>D18*D10</f>
        <v>9000</v>
      </c>
      <c r="F22" s="62">
        <f t="shared" si="1"/>
        <v>41</v>
      </c>
      <c r="G22" s="44">
        <v>6700</v>
      </c>
      <c r="I22" s="84"/>
      <c r="J22" s="53">
        <f t="shared" si="2"/>
        <v>41</v>
      </c>
      <c r="K22" s="45">
        <v>6700</v>
      </c>
      <c r="L22" s="46">
        <v>6500</v>
      </c>
      <c r="M22" s="46">
        <v>6300</v>
      </c>
      <c r="N22" s="46">
        <v>6100</v>
      </c>
      <c r="O22" s="46">
        <v>5900</v>
      </c>
      <c r="P22" s="46">
        <v>5700</v>
      </c>
      <c r="Q22" s="46">
        <v>5500</v>
      </c>
      <c r="R22" s="47">
        <v>5300</v>
      </c>
    </row>
    <row r="23" spans="2:18" ht="19" thickBot="1" x14ac:dyDescent="0.25">
      <c r="B23" s="5" t="s">
        <v>21</v>
      </c>
      <c r="C23" s="6"/>
      <c r="D23" s="27">
        <f>D21-D22</f>
        <v>12000</v>
      </c>
      <c r="F23" s="63">
        <f t="shared" si="1"/>
        <v>42</v>
      </c>
      <c r="G23" s="48">
        <v>6400</v>
      </c>
      <c r="I23" s="85"/>
      <c r="J23" s="54">
        <f t="shared" si="2"/>
        <v>42</v>
      </c>
      <c r="K23" s="49">
        <v>6400</v>
      </c>
      <c r="L23" s="50">
        <v>6200</v>
      </c>
      <c r="M23" s="50">
        <v>6000</v>
      </c>
      <c r="N23" s="50">
        <v>5800</v>
      </c>
      <c r="O23" s="50">
        <v>5600</v>
      </c>
      <c r="P23" s="50">
        <v>5400</v>
      </c>
      <c r="Q23" s="50">
        <v>5200</v>
      </c>
      <c r="R23" s="51">
        <v>5000</v>
      </c>
    </row>
    <row r="24" spans="2:18" x14ac:dyDescent="0.2">
      <c r="B24" s="5" t="s">
        <v>22</v>
      </c>
      <c r="C24" s="6"/>
      <c r="D24" s="26">
        <f>D13</f>
        <v>2000</v>
      </c>
    </row>
    <row r="25" spans="2:18" ht="19" thickBot="1" x14ac:dyDescent="0.25">
      <c r="B25" s="90" t="s">
        <v>16</v>
      </c>
      <c r="C25" s="91"/>
      <c r="D25" s="28">
        <f>D23-D13</f>
        <v>10000</v>
      </c>
    </row>
  </sheetData>
  <mergeCells count="12">
    <mergeCell ref="B25:C25"/>
    <mergeCell ref="B13:C13"/>
    <mergeCell ref="B15:C15"/>
    <mergeCell ref="B16:C16"/>
    <mergeCell ref="F8:G8"/>
    <mergeCell ref="I8:R8"/>
    <mergeCell ref="K9:R9"/>
    <mergeCell ref="B18:C19"/>
    <mergeCell ref="D18:D19"/>
    <mergeCell ref="I11:I23"/>
    <mergeCell ref="B21:C21"/>
    <mergeCell ref="F9:F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pinner 1">
              <controlPr defaultSize="0" autoPict="0">
                <anchor moveWithCells="1" sizeWithCells="1">
                  <from>
                    <xdr:col>4</xdr:col>
                    <xdr:colOff>25400</xdr:colOff>
                    <xdr:row>16</xdr:row>
                    <xdr:rowOff>228600</xdr:rowOff>
                  </from>
                  <to>
                    <xdr:col>4</xdr:col>
                    <xdr:colOff>520700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hange">
                <anchor moveWithCells="1" sizeWithCells="1">
                  <from>
                    <xdr:col>1</xdr:col>
                    <xdr:colOff>0</xdr:colOff>
                    <xdr:row>6</xdr:row>
                    <xdr:rowOff>215900</xdr:rowOff>
                  </from>
                  <to>
                    <xdr:col>4</xdr:col>
                    <xdr:colOff>12700</xdr:colOff>
                    <xdr:row>7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BEP Accelerator</vt:lpstr>
      <vt:lpstr>Sales Qty Impact on Profit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Nivas Nag</dc:creator>
  <cp:lastModifiedBy>Nivas Nag</cp:lastModifiedBy>
  <dcterms:created xsi:type="dcterms:W3CDTF">2024-02-24T08:56:56Z</dcterms:created>
  <dcterms:modified xsi:type="dcterms:W3CDTF">2024-04-03T10:02:30Z</dcterms:modified>
</cp:coreProperties>
</file>